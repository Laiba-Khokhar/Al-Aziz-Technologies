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JHON WICK\Downloads\"/>
    </mc:Choice>
  </mc:AlternateContent>
  <xr:revisionPtr revIDLastSave="0" documentId="13_ncr:1_{55C69A29-BA38-46EC-83E8-35F16EAF99F8}" xr6:coauthVersionLast="45" xr6:coauthVersionMax="45" xr10:uidLastSave="{00000000-0000-0000-0000-000000000000}"/>
  <bookViews>
    <workbookView xWindow="-110" yWindow="-110" windowWidth="19420" windowHeight="10420" activeTab="1" xr2:uid="{00000000-000D-0000-FFFF-FFFF00000000}"/>
  </bookViews>
  <sheets>
    <sheet name="Business Dataset" sheetId="1" r:id="rId1"/>
    <sheet name="Sheet1" sheetId="2" r:id="rId2"/>
  </sheets>
  <definedNames>
    <definedName name="_xlnm._FilterDatabase" localSheetId="0" hidden="1">'Business Dataset'!$A$1:$H$11</definedName>
  </definedNames>
  <calcPr calcId="181029" iterateDelta="1E-4"/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Q2" i="2"/>
  <c r="Q3" i="2"/>
  <c r="Q4" i="2"/>
  <c r="Q5" i="2"/>
  <c r="Q6" i="2"/>
  <c r="Q7" i="2"/>
  <c r="Q8" i="2"/>
  <c r="Q9" i="2"/>
  <c r="Q10" i="2"/>
  <c r="Q11" i="2"/>
  <c r="P2" i="2"/>
  <c r="P3" i="2"/>
  <c r="P4" i="2"/>
  <c r="P5" i="2"/>
  <c r="P6" i="2"/>
  <c r="P7" i="2"/>
  <c r="P8" i="2"/>
  <c r="P9" i="2"/>
  <c r="P10" i="2"/>
  <c r="P11" i="2"/>
  <c r="O2" i="2"/>
  <c r="O3" i="2"/>
  <c r="O4" i="2"/>
  <c r="O5" i="2"/>
  <c r="O6" i="2"/>
  <c r="O7" i="2"/>
  <c r="O8" i="2"/>
  <c r="O9" i="2"/>
  <c r="O10" i="2"/>
  <c r="O11" i="2"/>
  <c r="M2" i="2"/>
  <c r="M3" i="2"/>
  <c r="M4" i="2"/>
  <c r="M5" i="2"/>
  <c r="M6" i="2"/>
  <c r="M7" i="2"/>
  <c r="M8" i="2"/>
  <c r="M9" i="2"/>
  <c r="M10" i="2"/>
  <c r="M11" i="2"/>
  <c r="H2" i="2" l="1"/>
  <c r="I2" i="2" l="1"/>
  <c r="K2" i="2"/>
  <c r="J2" i="2"/>
  <c r="H11" i="2"/>
  <c r="K11" i="2" s="1"/>
  <c r="H10" i="2"/>
  <c r="K10" i="2" s="1"/>
  <c r="H9" i="2"/>
  <c r="K9" i="2" s="1"/>
  <c r="H8" i="2"/>
  <c r="K8" i="2" s="1"/>
  <c r="H7" i="2"/>
  <c r="K7" i="2" s="1"/>
  <c r="H6" i="2"/>
  <c r="H5" i="2"/>
  <c r="K5" i="2" s="1"/>
  <c r="H4" i="2"/>
  <c r="H3" i="2"/>
  <c r="K3" i="2" s="1"/>
  <c r="J19" i="1"/>
  <c r="J18" i="1"/>
  <c r="J17" i="1"/>
  <c r="J16" i="1"/>
  <c r="J15" i="1"/>
  <c r="J14" i="1"/>
  <c r="I2" i="1"/>
  <c r="I3" i="1"/>
  <c r="I4" i="1"/>
  <c r="I5" i="1"/>
  <c r="I6" i="1"/>
  <c r="I7" i="1"/>
  <c r="I8" i="1"/>
  <c r="I9" i="1"/>
  <c r="I10" i="1"/>
  <c r="I11" i="1"/>
  <c r="N8" i="2" l="1"/>
  <c r="N7" i="2"/>
  <c r="N10" i="2"/>
  <c r="N4" i="2"/>
  <c r="N5" i="2"/>
  <c r="N3" i="2"/>
  <c r="N6" i="2"/>
  <c r="N11" i="2"/>
  <c r="N9" i="2"/>
  <c r="N2" i="2"/>
  <c r="L8" i="2"/>
  <c r="K6" i="2"/>
  <c r="L11" i="2"/>
  <c r="L9" i="2"/>
  <c r="L6" i="2"/>
  <c r="K4" i="2"/>
  <c r="L4" i="2"/>
  <c r="L5" i="2"/>
  <c r="L10" i="2"/>
  <c r="L7" i="2"/>
  <c r="L3" i="2"/>
  <c r="L2" i="2"/>
  <c r="I6" i="2"/>
  <c r="J6" i="2"/>
  <c r="I9" i="2"/>
  <c r="J9" i="2"/>
  <c r="I3" i="2"/>
  <c r="J3" i="2"/>
  <c r="I7" i="2"/>
  <c r="J7" i="2"/>
  <c r="I11" i="2"/>
  <c r="J11" i="2"/>
  <c r="I5" i="2"/>
  <c r="J5" i="2"/>
  <c r="I10" i="2"/>
  <c r="J10" i="2"/>
  <c r="I4" i="2"/>
  <c r="J4" i="2"/>
  <c r="I8" i="2"/>
  <c r="J8" i="2"/>
</calcChain>
</file>

<file path=xl/sharedStrings.xml><?xml version="1.0" encoding="utf-8"?>
<sst xmlns="http://schemas.openxmlformats.org/spreadsheetml/2006/main" count="87" uniqueCount="30">
  <si>
    <t>Order ID</t>
  </si>
  <si>
    <t>Date</t>
  </si>
  <si>
    <t>Product</t>
  </si>
  <si>
    <t>Category</t>
  </si>
  <si>
    <t>Quantity</t>
  </si>
  <si>
    <t>Unit Price</t>
  </si>
  <si>
    <t>Total Sales</t>
  </si>
  <si>
    <t>Payment Method</t>
  </si>
  <si>
    <t>Notebook</t>
  </si>
  <si>
    <t>Stationery</t>
  </si>
  <si>
    <t>Cash</t>
  </si>
  <si>
    <t>Pen</t>
  </si>
  <si>
    <t>Card</t>
  </si>
  <si>
    <t>Water Bottle</t>
  </si>
  <si>
    <t>Accessories</t>
  </si>
  <si>
    <t>Backpack</t>
  </si>
  <si>
    <t>Calculator</t>
  </si>
  <si>
    <t>Electronics</t>
  </si>
  <si>
    <t>USB Cable</t>
  </si>
  <si>
    <t>Total Sales2</t>
  </si>
  <si>
    <t>Sales Status</t>
  </si>
  <si>
    <t>Quantity Check</t>
  </si>
  <si>
    <t>Sales per quantity</t>
  </si>
  <si>
    <t>Category Total Sales</t>
  </si>
  <si>
    <t>Product Count</t>
  </si>
  <si>
    <t>Category Average Sales</t>
  </si>
  <si>
    <t>Month Name</t>
  </si>
  <si>
    <t>Year</t>
  </si>
  <si>
    <t>Day Name</t>
  </si>
  <si>
    <t>Final Target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</si>
</sst>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0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164" formatCode="yyyy\-mm\-dd\ 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165100</xdr:colOff>
      <xdr:row>0</xdr:row>
      <xdr:rowOff>152400</xdr:rowOff>
    </xdr:from>
    <xdr:to>
      <xdr:col>13</xdr:col>
      <xdr:colOff>463550</xdr:colOff>
      <xdr:row>11</xdr:row>
      <xdr:rowOff>114300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DAEF19-6ED6-4E26-ACAF-499312FC1997}"/>
            </a:ext>
          </a:extLst>
        </xdr:cNvPr>
        <xdr:cNvSpPr txBox="1"/>
      </xdr:nvSpPr>
      <xdr:spPr>
        <a:xfrm>
          <a:off x="8947150" y="152400"/>
          <a:ext cx="2736850" cy="1987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Total</a:t>
          </a:r>
          <a:r>
            <a:rPr lang="en-US" sz="1100" baseline="0"/>
            <a:t> Sales is 26450</a:t>
          </a:r>
        </a:p>
        <a:p>
          <a:r>
            <a:rPr lang="en-US" sz="1100" baseline="0"/>
            <a:t>Max sales is 5400</a:t>
          </a:r>
        </a:p>
        <a:p>
          <a:r>
            <a:rPr lang="en-US" sz="1100" baseline="0"/>
            <a:t>Min sales is 500</a:t>
          </a:r>
        </a:p>
        <a:p>
          <a:r>
            <a:rPr lang="en-US" sz="1100"/>
            <a:t>Average Sales is 2645</a:t>
          </a:r>
        </a:p>
        <a:p>
          <a:r>
            <a:rPr lang="en-US" sz="1100"/>
            <a:t>Total</a:t>
          </a:r>
          <a:r>
            <a:rPr lang="en-US" sz="1100" baseline="0"/>
            <a:t> count is 10</a:t>
          </a:r>
        </a:p>
        <a:p>
          <a:r>
            <a:rPr lang="en-US" sz="1100" baseline="0"/>
            <a:t>CountA is 10</a:t>
          </a:r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5AD80A-C41A-44D3-9750-FC7CF59DEDD9}" name="Table1" displayName="Table1" ref="A1:I11" totalsRowShown="0" headerRowDxfId="15">
  <autoFilter ref="A1:I11" xr:uid="{9BFB4987-706B-47A7-BE5C-06DEB2A328BE}"/>
  <tableColumns count="9">
    <tableColumn id="1" xr3:uid="{E43610A6-34E1-4B4B-8ACD-BC0D83D765FD}" name="Order ID"/>
    <tableColumn id="2" xr3:uid="{EA566EE2-D348-4AC4-AEBE-8E2CB144A261}" name="Date" dataDxfId="14"/>
    <tableColumn id="3" xr3:uid="{43726480-5505-4D88-880F-A9DB0456467B}" name="Product"/>
    <tableColumn id="4" xr3:uid="{DEA10B89-61A6-454A-80A4-682699638EEE}" name="Category"/>
    <tableColumn id="5" xr3:uid="{0F43DB3B-C397-4CF6-B8EB-A023B6EFA74A}" name="Quantity"/>
    <tableColumn id="6" xr3:uid="{D1003CB9-76FE-4D03-A6E9-DE5A54F5F91F}" name="Unit Price"/>
    <tableColumn id="7" xr3:uid="{B74FB1F4-76D2-493D-AA41-4CF012E5F801}" name="Total Sales"/>
    <tableColumn id="8" xr3:uid="{B82721B0-6934-42A8-9DDD-3F553566AACE}" name="Payment Method"/>
    <tableColumn id="9" xr3:uid="{DC03AD37-0FFF-4565-B640-5B04FB38D309}" name="Total Sales2" dataDxfId="13">
      <calculatedColumnFormula>E:E*F:F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A8A968-D329-4F56-A266-B989236BA4AA}" name="Table13" displayName="Table13" ref="A1:R11" totalsRowShown="0" headerRowDxfId="12">
  <autoFilter ref="A1:R11" xr:uid="{756D6EAB-8213-4288-993D-F6D4DDEA4EFF}"/>
  <tableColumns count="18">
    <tableColumn id="1" xr3:uid="{58D33A21-0F26-4515-A8AC-D647AF727BEA}" name="Order ID"/>
    <tableColumn id="2" xr3:uid="{B8C90B80-1C34-4EE8-9F3B-1D4E80DF2878}" name="Date" dataDxfId="11"/>
    <tableColumn id="3" xr3:uid="{861B9C69-BF32-4D30-B4EE-F1F9CB47B79E}" name="Product"/>
    <tableColumn id="4" xr3:uid="{3B7F2609-8479-4DEE-96B9-F8A1434EF773}" name="Category"/>
    <tableColumn id="5" xr3:uid="{9C0BFB0F-56BA-4827-B80C-9B50A4B909BB}" name="Quantity"/>
    <tableColumn id="6" xr3:uid="{65736417-B1F7-46D5-8765-782C3800713F}" name="Unit Price"/>
    <tableColumn id="8" xr3:uid="{6B698C89-CA28-48BD-A647-9C3C0C8F4463}" name="Payment Method"/>
    <tableColumn id="9" xr3:uid="{CA0C42E0-304E-4259-B106-8C397B228365}" name="Total Sales" dataDxfId="10">
      <calculatedColumnFormula>E:E*F:F</calculatedColumnFormula>
    </tableColumn>
    <tableColumn id="7" xr3:uid="{C53AEC3E-1DD2-4C59-B304-8DE5F8AD9030}" name="Sales Status" dataDxfId="9">
      <calculatedColumnFormula>IF(H:H&gt;1000,"High","Low")</calculatedColumnFormula>
    </tableColumn>
    <tableColumn id="10" xr3:uid="{6137A59C-174B-4C3F-A2EC-621D4950880E}" name="Quantity Check" dataDxfId="8">
      <calculatedColumnFormula>AND(E:E&gt;5,H:H&gt;1000)</calculatedColumnFormula>
    </tableColumn>
    <tableColumn id="11" xr3:uid="{06CB9AAC-A2C8-4750-9E9A-BB29DCC513FD}" name="Sales per quantity" dataDxfId="7">
      <calculatedColumnFormula>IFERROR(H2/E2,0)</calculatedColumnFormula>
    </tableColumn>
    <tableColumn id="12" xr3:uid="{7FA380CF-0523-480E-922F-422EE3B14D59}" name="Category Total Sales" dataDxfId="6">
      <calculatedColumnFormula>SUMIF($D$2:$D$11,D2,$H$2:$H$11)</calculatedColumnFormula>
    </tableColumn>
    <tableColumn id="13" xr3:uid="{E7A475DB-741D-4879-B2F5-77F2C2B7E9BF}" name="Product Count" dataDxfId="5">
      <calculatedColumnFormula>COUNTIF($C$2:$C$11,C2)</calculatedColumnFormula>
    </tableColumn>
    <tableColumn id="14" xr3:uid="{10E7334B-66C9-4626-996C-B9490B782A25}" name="Category Average Sales" dataDxfId="4">
      <calculatedColumnFormula>AVERAGEIF($D$2:$D$11,D2,$H$2:$H$11)</calculatedColumnFormula>
    </tableColumn>
    <tableColumn id="16" xr3:uid="{FD2AED19-E450-409A-8417-83E1E0E34793}" name="Month Name" dataDxfId="3">
      <calculatedColumnFormula>TEXT(B2,"mmmm")</calculatedColumnFormula>
    </tableColumn>
    <tableColumn id="17" xr3:uid="{93386289-3177-4292-BDD2-942811D03E93}" name="Year" dataDxfId="2">
      <calculatedColumnFormula>TEXT(B2,"yyyy")</calculatedColumnFormula>
    </tableColumn>
    <tableColumn id="18" xr3:uid="{52EE4E7D-A06B-44EE-9B04-FE8B6D400D97}" name="Day Name" dataDxfId="1">
      <calculatedColumnFormula>TEXT(B2,"dddd")</calculatedColumnFormula>
    </tableColumn>
    <tableColumn id="19" xr3:uid="{F108EA89-DB42-45A1-B3E2-BA725BEF6DBF}" name="Final Target Status" dataDxfId="0">
      <calculatedColumnFormula>IF(AND(E2&gt;=3,H2&gt;=2000),"Target Achieved","Target Not Achieved")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workbookViewId="0">
      <pane ySplit="1" topLeftCell="A2" activePane="bottomLeft" state="frozen"/>
      <selection pane="bottomLeft" activeCell="D14" sqref="D14"/>
    </sheetView>
  </sheetViews>
  <sheetFormatPr defaultRowHeight="14.5" x14ac:dyDescent="0.35"/>
  <cols>
    <col min="1" max="1" width="12.54296875" bestFit="1" customWidth="1"/>
    <col min="2" max="2" width="17.81640625" bestFit="1" customWidth="1"/>
    <col min="3" max="3" width="12" bestFit="1" customWidth="1"/>
    <col min="4" max="4" width="12.81640625" bestFit="1" customWidth="1"/>
    <col min="5" max="5" width="12.7265625" bestFit="1" customWidth="1"/>
    <col min="6" max="6" width="12" customWidth="1"/>
    <col min="7" max="7" width="13" customWidth="1"/>
    <col min="8" max="8" width="20.08984375" bestFit="1" customWidth="1"/>
    <col min="9" max="9" width="12.7265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19</v>
      </c>
    </row>
    <row r="2" spans="1:10" x14ac:dyDescent="0.35">
      <c r="A2">
        <v>1001</v>
      </c>
      <c r="B2" s="2">
        <v>46023</v>
      </c>
      <c r="C2" t="s">
        <v>8</v>
      </c>
      <c r="D2" t="s">
        <v>9</v>
      </c>
      <c r="E2">
        <v>5</v>
      </c>
      <c r="F2">
        <v>300</v>
      </c>
      <c r="G2">
        <v>1500</v>
      </c>
      <c r="H2" t="s">
        <v>10</v>
      </c>
      <c r="I2">
        <f t="shared" ref="I2:I11" si="0">E:E*F:F</f>
        <v>1500</v>
      </c>
    </row>
    <row r="3" spans="1:10" x14ac:dyDescent="0.35">
      <c r="A3">
        <v>1002</v>
      </c>
      <c r="B3" s="2">
        <v>46024</v>
      </c>
      <c r="C3" t="s">
        <v>11</v>
      </c>
      <c r="D3" t="s">
        <v>9</v>
      </c>
      <c r="E3">
        <v>10</v>
      </c>
      <c r="F3">
        <v>50</v>
      </c>
      <c r="G3">
        <v>500</v>
      </c>
      <c r="H3" t="s">
        <v>12</v>
      </c>
      <c r="I3">
        <f t="shared" si="0"/>
        <v>500</v>
      </c>
    </row>
    <row r="4" spans="1:10" x14ac:dyDescent="0.35">
      <c r="A4">
        <v>1003</v>
      </c>
      <c r="B4" s="2">
        <v>46025</v>
      </c>
      <c r="C4" t="s">
        <v>13</v>
      </c>
      <c r="D4" t="s">
        <v>14</v>
      </c>
      <c r="E4">
        <v>3</v>
      </c>
      <c r="F4">
        <v>800</v>
      </c>
      <c r="G4">
        <v>2400</v>
      </c>
      <c r="H4" t="s">
        <v>10</v>
      </c>
      <c r="I4">
        <f t="shared" si="0"/>
        <v>2400</v>
      </c>
    </row>
    <row r="5" spans="1:10" x14ac:dyDescent="0.35">
      <c r="A5">
        <v>1004</v>
      </c>
      <c r="B5" s="2">
        <v>46026</v>
      </c>
      <c r="C5" t="s">
        <v>15</v>
      </c>
      <c r="D5" t="s">
        <v>14</v>
      </c>
      <c r="E5">
        <v>2</v>
      </c>
      <c r="F5">
        <v>2500</v>
      </c>
      <c r="G5">
        <v>5000</v>
      </c>
      <c r="H5" t="s">
        <v>12</v>
      </c>
      <c r="I5">
        <f t="shared" si="0"/>
        <v>5000</v>
      </c>
    </row>
    <row r="6" spans="1:10" x14ac:dyDescent="0.35">
      <c r="A6">
        <v>1005</v>
      </c>
      <c r="B6" s="2">
        <v>46027</v>
      </c>
      <c r="C6" t="s">
        <v>16</v>
      </c>
      <c r="D6" t="s">
        <v>17</v>
      </c>
      <c r="E6">
        <v>2</v>
      </c>
      <c r="F6">
        <v>1800</v>
      </c>
      <c r="G6">
        <v>3600</v>
      </c>
      <c r="H6" t="s">
        <v>10</v>
      </c>
      <c r="I6">
        <f t="shared" si="0"/>
        <v>3600</v>
      </c>
    </row>
    <row r="7" spans="1:10" x14ac:dyDescent="0.35">
      <c r="A7">
        <v>1006</v>
      </c>
      <c r="B7" s="2">
        <v>46028</v>
      </c>
      <c r="C7" t="s">
        <v>8</v>
      </c>
      <c r="D7" t="s">
        <v>9</v>
      </c>
      <c r="E7">
        <v>8</v>
      </c>
      <c r="F7">
        <v>300</v>
      </c>
      <c r="G7">
        <v>2400</v>
      </c>
      <c r="H7" t="s">
        <v>12</v>
      </c>
      <c r="I7">
        <f t="shared" si="0"/>
        <v>2400</v>
      </c>
    </row>
    <row r="8" spans="1:10" x14ac:dyDescent="0.35">
      <c r="A8">
        <v>1007</v>
      </c>
      <c r="B8" s="2">
        <v>46029</v>
      </c>
      <c r="C8" t="s">
        <v>11</v>
      </c>
      <c r="D8" t="s">
        <v>9</v>
      </c>
      <c r="E8">
        <v>15</v>
      </c>
      <c r="F8">
        <v>50</v>
      </c>
      <c r="G8">
        <v>750</v>
      </c>
      <c r="H8" t="s">
        <v>10</v>
      </c>
      <c r="I8">
        <f t="shared" si="0"/>
        <v>750</v>
      </c>
    </row>
    <row r="9" spans="1:10" x14ac:dyDescent="0.35">
      <c r="A9">
        <v>1008</v>
      </c>
      <c r="B9" s="2">
        <v>46030</v>
      </c>
      <c r="C9" t="s">
        <v>18</v>
      </c>
      <c r="D9" t="s">
        <v>17</v>
      </c>
      <c r="E9">
        <v>4</v>
      </c>
      <c r="F9">
        <v>600</v>
      </c>
      <c r="G9">
        <v>2400</v>
      </c>
      <c r="H9" t="s">
        <v>12</v>
      </c>
      <c r="I9">
        <f t="shared" si="0"/>
        <v>2400</v>
      </c>
    </row>
    <row r="10" spans="1:10" x14ac:dyDescent="0.35">
      <c r="A10">
        <v>1009</v>
      </c>
      <c r="B10" s="2">
        <v>46031</v>
      </c>
      <c r="C10" t="s">
        <v>15</v>
      </c>
      <c r="D10" t="s">
        <v>14</v>
      </c>
      <c r="E10">
        <v>1</v>
      </c>
      <c r="F10">
        <v>2500</v>
      </c>
      <c r="G10">
        <v>2500</v>
      </c>
      <c r="H10" t="s">
        <v>10</v>
      </c>
      <c r="I10">
        <f t="shared" si="0"/>
        <v>2500</v>
      </c>
    </row>
    <row r="11" spans="1:10" x14ac:dyDescent="0.35">
      <c r="A11">
        <v>1010</v>
      </c>
      <c r="B11" s="2">
        <v>46032</v>
      </c>
      <c r="C11" t="s">
        <v>16</v>
      </c>
      <c r="D11" t="s">
        <v>17</v>
      </c>
      <c r="E11">
        <v>3</v>
      </c>
      <c r="F11">
        <v>1800</v>
      </c>
      <c r="G11">
        <v>5400</v>
      </c>
      <c r="H11" t="s">
        <v>12</v>
      </c>
      <c r="I11">
        <f t="shared" si="0"/>
        <v>5400</v>
      </c>
    </row>
    <row r="14" spans="1:10" x14ac:dyDescent="0.35">
      <c r="J14">
        <f>SUM(I:I)</f>
        <v>26450</v>
      </c>
    </row>
    <row r="15" spans="1:10" x14ac:dyDescent="0.35">
      <c r="J15">
        <f>MAX(I:I)</f>
        <v>5400</v>
      </c>
    </row>
    <row r="16" spans="1:10" x14ac:dyDescent="0.35">
      <c r="J16">
        <f>MIN(I:I)</f>
        <v>500</v>
      </c>
    </row>
    <row r="17" spans="10:10" x14ac:dyDescent="0.35">
      <c r="J17">
        <f>AVERAGE(I:I)</f>
        <v>2645</v>
      </c>
    </row>
    <row r="18" spans="10:10" x14ac:dyDescent="0.35">
      <c r="J18">
        <f>COUNT(I:I)</f>
        <v>10</v>
      </c>
    </row>
    <row r="19" spans="10:10" x14ac:dyDescent="0.35">
      <c r="J19">
        <f>COUNTA(Table1[Order ID])</f>
        <v>10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06F0E-2BEC-49FC-9F40-11309929E1A7}">
  <dimension ref="A1:R11"/>
  <sheetViews>
    <sheetView tabSelected="1" topLeftCell="M1" workbookViewId="0">
      <selection activeCell="R2" sqref="R2"/>
    </sheetView>
  </sheetViews>
  <sheetFormatPr defaultRowHeight="14.5" x14ac:dyDescent="0.35"/>
  <cols>
    <col min="2" max="2" width="17.81640625" bestFit="1" customWidth="1"/>
    <col min="3" max="3" width="12" bestFit="1" customWidth="1"/>
    <col min="4" max="4" width="12.81640625" bestFit="1" customWidth="1"/>
    <col min="5" max="5" width="12.7265625" bestFit="1" customWidth="1"/>
    <col min="6" max="6" width="13.453125" bestFit="1" customWidth="1"/>
    <col min="7" max="7" width="20.08984375" bestFit="1" customWidth="1"/>
    <col min="8" max="9" width="15.26953125" bestFit="1" customWidth="1"/>
    <col min="10" max="10" width="20.90625" bestFit="1" customWidth="1"/>
    <col min="11" max="11" width="18.36328125" bestFit="1" customWidth="1"/>
    <col min="12" max="12" width="22.36328125" bestFit="1" customWidth="1"/>
    <col min="13" max="13" width="17.6328125" bestFit="1" customWidth="1"/>
    <col min="14" max="14" width="24.81640625" bestFit="1" customWidth="1"/>
    <col min="15" max="15" width="16.453125" bestFit="1" customWidth="1"/>
    <col min="17" max="17" width="13.90625" bestFit="1" customWidth="1"/>
    <col min="18" max="18" width="20.9062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5" t="s">
        <v>6</v>
      </c>
      <c r="I1" s="4" t="s">
        <v>20</v>
      </c>
      <c r="J1" s="4" t="s">
        <v>21</v>
      </c>
      <c r="K1" s="4" t="s">
        <v>22</v>
      </c>
      <c r="L1" s="7" t="s">
        <v>23</v>
      </c>
      <c r="M1" s="7" t="s">
        <v>24</v>
      </c>
      <c r="N1" s="7" t="s">
        <v>25</v>
      </c>
      <c r="O1" s="7" t="s">
        <v>26</v>
      </c>
      <c r="P1" s="7" t="s">
        <v>27</v>
      </c>
      <c r="Q1" s="7" t="s">
        <v>28</v>
      </c>
      <c r="R1" s="7" t="s">
        <v>29</v>
      </c>
    </row>
    <row r="2" spans="1:18" x14ac:dyDescent="0.35">
      <c r="A2">
        <v>1001</v>
      </c>
      <c r="B2" s="2">
        <v>46023</v>
      </c>
      <c r="C2" t="s">
        <v>8</v>
      </c>
      <c r="D2" t="s">
        <v>9</v>
      </c>
      <c r="E2">
        <v>5</v>
      </c>
      <c r="F2">
        <v>300</v>
      </c>
      <c r="G2" t="s">
        <v>10</v>
      </c>
      <c r="H2">
        <f t="shared" ref="H2:H11" si="0">E:E*F:F</f>
        <v>1500</v>
      </c>
      <c r="I2" t="str">
        <f t="shared" ref="I2:I11" si="1">IF(H:H&gt;1000,"High","Low")</f>
        <v>High</v>
      </c>
      <c r="J2" t="b">
        <f t="shared" ref="J2:J11" si="2">AND(E:E&gt;5,H:H&gt;1000)</f>
        <v>0</v>
      </c>
      <c r="K2" s="6">
        <f>IFERROR(H2/E2,0)</f>
        <v>300</v>
      </c>
      <c r="L2" s="6">
        <f>SUMIF($D$2:$D$11,D2,$H$2:$H$11)</f>
        <v>5150</v>
      </c>
      <c r="M2" s="6">
        <f t="shared" ref="M2:M11" si="3">COUNTIF($C$2:$C$11,C2)</f>
        <v>2</v>
      </c>
      <c r="N2" s="6">
        <f t="shared" ref="N2:N11" si="4">AVERAGEIF($D$2:$D$11,D2,$H$2:$H$11)</f>
        <v>1287.5</v>
      </c>
      <c r="O2" s="6" t="str">
        <f t="shared" ref="O2:O11" si="5">TEXT(B2,"mmmm")</f>
        <v>January</v>
      </c>
      <c r="P2" s="6" t="str">
        <f t="shared" ref="P2:P11" si="6">TEXT(B2,"yyyy")</f>
        <v>2026</v>
      </c>
      <c r="Q2" s="6" t="str">
        <f t="shared" ref="Q2:Q11" si="7">TEXT(B2,"dddd")</f>
        <v>Thursday</v>
      </c>
      <c r="R2" s="6" t="str">
        <f t="shared" ref="R2:R11" si="8">IF(AND(E2&gt;=3,H2&gt;=2000),"Target Achieved","Target Not Achieved")</f>
        <v>Target Not Achieved</v>
      </c>
    </row>
    <row r="3" spans="1:18" x14ac:dyDescent="0.35">
      <c r="A3">
        <v>1002</v>
      </c>
      <c r="B3" s="2">
        <v>46024</v>
      </c>
      <c r="C3" t="s">
        <v>11</v>
      </c>
      <c r="D3" t="s">
        <v>9</v>
      </c>
      <c r="E3">
        <v>10</v>
      </c>
      <c r="F3">
        <v>50</v>
      </c>
      <c r="G3" t="s">
        <v>12</v>
      </c>
      <c r="H3">
        <f t="shared" si="0"/>
        <v>500</v>
      </c>
      <c r="I3" t="str">
        <f t="shared" si="1"/>
        <v>Low</v>
      </c>
      <c r="J3" t="b">
        <f t="shared" si="2"/>
        <v>0</v>
      </c>
      <c r="K3" s="6">
        <f t="shared" ref="K3:K11" si="9">IFERROR(H3/E3,0)</f>
        <v>50</v>
      </c>
      <c r="L3" s="6">
        <f t="shared" ref="L3:L11" si="10">SUMIF($D$2:$D$11,D3,$H$2:$H$11)</f>
        <v>5150</v>
      </c>
      <c r="M3" s="6">
        <f t="shared" si="3"/>
        <v>2</v>
      </c>
      <c r="N3" s="6">
        <f t="shared" si="4"/>
        <v>1287.5</v>
      </c>
      <c r="O3" s="6" t="str">
        <f t="shared" si="5"/>
        <v>January</v>
      </c>
      <c r="P3" s="6" t="str">
        <f t="shared" si="6"/>
        <v>2026</v>
      </c>
      <c r="Q3" s="6" t="str">
        <f t="shared" si="7"/>
        <v>Friday</v>
      </c>
      <c r="R3" s="6" t="str">
        <f t="shared" si="8"/>
        <v>Target Not Achieved</v>
      </c>
    </row>
    <row r="4" spans="1:18" x14ac:dyDescent="0.35">
      <c r="A4">
        <v>1003</v>
      </c>
      <c r="B4" s="2">
        <v>46025</v>
      </c>
      <c r="C4" t="s">
        <v>13</v>
      </c>
      <c r="D4" t="s">
        <v>14</v>
      </c>
      <c r="E4">
        <v>3</v>
      </c>
      <c r="F4">
        <v>800</v>
      </c>
      <c r="G4" t="s">
        <v>10</v>
      </c>
      <c r="H4">
        <f t="shared" si="0"/>
        <v>2400</v>
      </c>
      <c r="I4" t="str">
        <f t="shared" si="1"/>
        <v>High</v>
      </c>
      <c r="J4" t="b">
        <f t="shared" si="2"/>
        <v>0</v>
      </c>
      <c r="K4" s="6">
        <f t="shared" si="9"/>
        <v>800</v>
      </c>
      <c r="L4" s="6">
        <f t="shared" si="10"/>
        <v>9900</v>
      </c>
      <c r="M4" s="6">
        <f t="shared" si="3"/>
        <v>1</v>
      </c>
      <c r="N4" s="6">
        <f t="shared" si="4"/>
        <v>3300</v>
      </c>
      <c r="O4" s="6" t="str">
        <f t="shared" si="5"/>
        <v>January</v>
      </c>
      <c r="P4" s="6" t="str">
        <f t="shared" si="6"/>
        <v>2026</v>
      </c>
      <c r="Q4" s="6" t="str">
        <f t="shared" si="7"/>
        <v>Saturday</v>
      </c>
      <c r="R4" s="6" t="str">
        <f t="shared" si="8"/>
        <v>Target Achieved</v>
      </c>
    </row>
    <row r="5" spans="1:18" x14ac:dyDescent="0.35">
      <c r="A5">
        <v>1004</v>
      </c>
      <c r="B5" s="2">
        <v>46026</v>
      </c>
      <c r="C5" t="s">
        <v>15</v>
      </c>
      <c r="D5" t="s">
        <v>14</v>
      </c>
      <c r="E5">
        <v>2</v>
      </c>
      <c r="F5">
        <v>2500</v>
      </c>
      <c r="G5" t="s">
        <v>12</v>
      </c>
      <c r="H5">
        <f t="shared" si="0"/>
        <v>5000</v>
      </c>
      <c r="I5" t="str">
        <f t="shared" si="1"/>
        <v>High</v>
      </c>
      <c r="J5" t="b">
        <f t="shared" si="2"/>
        <v>0</v>
      </c>
      <c r="K5" s="6">
        <f t="shared" si="9"/>
        <v>2500</v>
      </c>
      <c r="L5" s="6">
        <f t="shared" si="10"/>
        <v>9900</v>
      </c>
      <c r="M5" s="6">
        <f t="shared" si="3"/>
        <v>2</v>
      </c>
      <c r="N5" s="6">
        <f t="shared" si="4"/>
        <v>3300</v>
      </c>
      <c r="O5" s="6" t="str">
        <f t="shared" si="5"/>
        <v>January</v>
      </c>
      <c r="P5" s="6" t="str">
        <f t="shared" si="6"/>
        <v>2026</v>
      </c>
      <c r="Q5" s="6" t="str">
        <f t="shared" si="7"/>
        <v>Sunday</v>
      </c>
      <c r="R5" s="6" t="str">
        <f t="shared" si="8"/>
        <v>Target Not Achieved</v>
      </c>
    </row>
    <row r="6" spans="1:18" x14ac:dyDescent="0.35">
      <c r="A6">
        <v>1005</v>
      </c>
      <c r="B6" s="2">
        <v>46027</v>
      </c>
      <c r="C6" t="s">
        <v>16</v>
      </c>
      <c r="D6" t="s">
        <v>17</v>
      </c>
      <c r="E6">
        <v>2</v>
      </c>
      <c r="F6">
        <v>1800</v>
      </c>
      <c r="G6" t="s">
        <v>10</v>
      </c>
      <c r="H6">
        <f t="shared" si="0"/>
        <v>3600</v>
      </c>
      <c r="I6" t="str">
        <f t="shared" si="1"/>
        <v>High</v>
      </c>
      <c r="J6" t="b">
        <f t="shared" si="2"/>
        <v>0</v>
      </c>
      <c r="K6" s="6">
        <f t="shared" si="9"/>
        <v>1800</v>
      </c>
      <c r="L6" s="6">
        <f t="shared" si="10"/>
        <v>11400</v>
      </c>
      <c r="M6" s="6">
        <f t="shared" si="3"/>
        <v>2</v>
      </c>
      <c r="N6" s="6">
        <f t="shared" si="4"/>
        <v>3800</v>
      </c>
      <c r="O6" s="6" t="str">
        <f t="shared" si="5"/>
        <v>January</v>
      </c>
      <c r="P6" s="6" t="str">
        <f t="shared" si="6"/>
        <v>2026</v>
      </c>
      <c r="Q6" s="6" t="str">
        <f t="shared" si="7"/>
        <v>Monday</v>
      </c>
      <c r="R6" s="6" t="str">
        <f t="shared" si="8"/>
        <v>Target Not Achieved</v>
      </c>
    </row>
    <row r="7" spans="1:18" x14ac:dyDescent="0.35">
      <c r="A7">
        <v>1006</v>
      </c>
      <c r="B7" s="2">
        <v>46028</v>
      </c>
      <c r="C7" t="s">
        <v>8</v>
      </c>
      <c r="D7" t="s">
        <v>9</v>
      </c>
      <c r="E7">
        <v>8</v>
      </c>
      <c r="F7">
        <v>300</v>
      </c>
      <c r="G7" t="s">
        <v>12</v>
      </c>
      <c r="H7">
        <f t="shared" si="0"/>
        <v>2400</v>
      </c>
      <c r="I7" t="str">
        <f t="shared" si="1"/>
        <v>High</v>
      </c>
      <c r="J7" t="b">
        <f t="shared" si="2"/>
        <v>1</v>
      </c>
      <c r="K7" s="6">
        <f t="shared" si="9"/>
        <v>300</v>
      </c>
      <c r="L7" s="6">
        <f t="shared" si="10"/>
        <v>5150</v>
      </c>
      <c r="M7" s="6">
        <f t="shared" si="3"/>
        <v>2</v>
      </c>
      <c r="N7" s="6">
        <f t="shared" si="4"/>
        <v>1287.5</v>
      </c>
      <c r="O7" s="6" t="str">
        <f t="shared" si="5"/>
        <v>January</v>
      </c>
      <c r="P7" s="6" t="str">
        <f t="shared" si="6"/>
        <v>2026</v>
      </c>
      <c r="Q7" s="6" t="str">
        <f t="shared" si="7"/>
        <v>Tuesday</v>
      </c>
      <c r="R7" s="6" t="str">
        <f t="shared" si="8"/>
        <v>Target Achieved</v>
      </c>
    </row>
    <row r="8" spans="1:18" x14ac:dyDescent="0.35">
      <c r="A8">
        <v>1007</v>
      </c>
      <c r="B8" s="2">
        <v>46029</v>
      </c>
      <c r="C8" t="s">
        <v>11</v>
      </c>
      <c r="D8" t="s">
        <v>9</v>
      </c>
      <c r="E8">
        <v>15</v>
      </c>
      <c r="F8">
        <v>50</v>
      </c>
      <c r="G8" t="s">
        <v>10</v>
      </c>
      <c r="H8">
        <f t="shared" si="0"/>
        <v>750</v>
      </c>
      <c r="I8" t="str">
        <f t="shared" si="1"/>
        <v>Low</v>
      </c>
      <c r="J8" t="b">
        <f t="shared" si="2"/>
        <v>0</v>
      </c>
      <c r="K8" s="6">
        <f t="shared" si="9"/>
        <v>50</v>
      </c>
      <c r="L8" s="6">
        <f t="shared" si="10"/>
        <v>5150</v>
      </c>
      <c r="M8" s="6">
        <f t="shared" si="3"/>
        <v>2</v>
      </c>
      <c r="N8" s="6">
        <f t="shared" si="4"/>
        <v>1287.5</v>
      </c>
      <c r="O8" s="6" t="str">
        <f t="shared" si="5"/>
        <v>January</v>
      </c>
      <c r="P8" s="6" t="str">
        <f t="shared" si="6"/>
        <v>2026</v>
      </c>
      <c r="Q8" s="6" t="str">
        <f t="shared" si="7"/>
        <v>Wednesday</v>
      </c>
      <c r="R8" s="6" t="str">
        <f t="shared" si="8"/>
        <v>Target Not Achieved</v>
      </c>
    </row>
    <row r="9" spans="1:18" x14ac:dyDescent="0.35">
      <c r="A9">
        <v>1008</v>
      </c>
      <c r="B9" s="2">
        <v>46030</v>
      </c>
      <c r="C9" t="s">
        <v>18</v>
      </c>
      <c r="D9" t="s">
        <v>17</v>
      </c>
      <c r="E9">
        <v>4</v>
      </c>
      <c r="F9">
        <v>600</v>
      </c>
      <c r="G9" t="s">
        <v>12</v>
      </c>
      <c r="H9">
        <f t="shared" si="0"/>
        <v>2400</v>
      </c>
      <c r="I9" t="str">
        <f t="shared" si="1"/>
        <v>High</v>
      </c>
      <c r="J9" t="b">
        <f t="shared" si="2"/>
        <v>0</v>
      </c>
      <c r="K9" s="6">
        <f t="shared" si="9"/>
        <v>600</v>
      </c>
      <c r="L9" s="6">
        <f t="shared" si="10"/>
        <v>11400</v>
      </c>
      <c r="M9" s="6">
        <f t="shared" si="3"/>
        <v>1</v>
      </c>
      <c r="N9" s="6">
        <f t="shared" si="4"/>
        <v>3800</v>
      </c>
      <c r="O9" s="6" t="str">
        <f t="shared" si="5"/>
        <v>January</v>
      </c>
      <c r="P9" s="6" t="str">
        <f t="shared" si="6"/>
        <v>2026</v>
      </c>
      <c r="Q9" s="6" t="str">
        <f t="shared" si="7"/>
        <v>Thursday</v>
      </c>
      <c r="R9" s="6" t="str">
        <f t="shared" si="8"/>
        <v>Target Achieved</v>
      </c>
    </row>
    <row r="10" spans="1:18" x14ac:dyDescent="0.35">
      <c r="A10">
        <v>1009</v>
      </c>
      <c r="B10" s="2">
        <v>46031</v>
      </c>
      <c r="C10" t="s">
        <v>15</v>
      </c>
      <c r="D10" t="s">
        <v>14</v>
      </c>
      <c r="E10">
        <v>1</v>
      </c>
      <c r="F10">
        <v>2500</v>
      </c>
      <c r="G10" t="s">
        <v>10</v>
      </c>
      <c r="H10">
        <f t="shared" si="0"/>
        <v>2500</v>
      </c>
      <c r="I10" t="str">
        <f t="shared" si="1"/>
        <v>High</v>
      </c>
      <c r="J10" t="b">
        <f t="shared" si="2"/>
        <v>0</v>
      </c>
      <c r="K10" s="6">
        <f t="shared" si="9"/>
        <v>2500</v>
      </c>
      <c r="L10" s="6">
        <f t="shared" si="10"/>
        <v>9900</v>
      </c>
      <c r="M10" s="6">
        <f t="shared" si="3"/>
        <v>2</v>
      </c>
      <c r="N10" s="6">
        <f t="shared" si="4"/>
        <v>3300</v>
      </c>
      <c r="O10" s="6" t="str">
        <f t="shared" si="5"/>
        <v>January</v>
      </c>
      <c r="P10" s="6" t="str">
        <f t="shared" si="6"/>
        <v>2026</v>
      </c>
      <c r="Q10" s="6" t="str">
        <f t="shared" si="7"/>
        <v>Friday</v>
      </c>
      <c r="R10" s="6" t="str">
        <f t="shared" si="8"/>
        <v>Target Not Achieved</v>
      </c>
    </row>
    <row r="11" spans="1:18" x14ac:dyDescent="0.35">
      <c r="A11">
        <v>1010</v>
      </c>
      <c r="B11" s="2">
        <v>46032</v>
      </c>
      <c r="C11" t="s">
        <v>16</v>
      </c>
      <c r="D11" t="s">
        <v>17</v>
      </c>
      <c r="E11">
        <v>3</v>
      </c>
      <c r="F11">
        <v>1800</v>
      </c>
      <c r="G11" t="s">
        <v>12</v>
      </c>
      <c r="H11">
        <f t="shared" si="0"/>
        <v>5400</v>
      </c>
      <c r="I11" t="str">
        <f t="shared" si="1"/>
        <v>High</v>
      </c>
      <c r="J11" t="b">
        <f t="shared" si="2"/>
        <v>0</v>
      </c>
      <c r="K11" s="6">
        <f t="shared" si="9"/>
        <v>1800</v>
      </c>
      <c r="L11" s="6">
        <f t="shared" si="10"/>
        <v>11400</v>
      </c>
      <c r="M11" s="6">
        <f t="shared" si="3"/>
        <v>2</v>
      </c>
      <c r="N11" s="6">
        <f t="shared" si="4"/>
        <v>3800</v>
      </c>
      <c r="O11" s="6" t="str">
        <f t="shared" si="5"/>
        <v>January</v>
      </c>
      <c r="P11" s="6" t="str">
        <f t="shared" si="6"/>
        <v>2026</v>
      </c>
      <c r="Q11" s="6" t="str">
        <f t="shared" si="7"/>
        <v>Saturday</v>
      </c>
      <c r="R11" s="6" t="str">
        <f t="shared" si="8"/>
        <v>Target Achieved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Business Dataset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JHON WICK</cp:lastModifiedBy>
  <dcterms:created xsi:type="dcterms:W3CDTF">2026-08-19T10:43:20Z</dcterms:created>
  <dcterms:modified xsi:type="dcterms:W3CDTF">2026-08-20T12:17:45Z</dcterms:modified>
</cp:coreProperties>
</file>