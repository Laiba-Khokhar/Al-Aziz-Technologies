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HON WICK\Downloads\"/>
    </mc:Choice>
  </mc:AlternateContent>
  <xr:revisionPtr revIDLastSave="0" documentId="13_ncr:1_{E6C8B37C-E6EF-4BF3-A658-AEAB79907B39}" xr6:coauthVersionLast="45" xr6:coauthVersionMax="45" xr10:uidLastSave="{00000000-0000-0000-0000-000000000000}"/>
  <bookViews>
    <workbookView xWindow="-110" yWindow="-110" windowWidth="19420" windowHeight="10420" firstSheet="4" activeTab="9" xr2:uid="{00000000-000D-0000-FFFF-FFFF00000000}"/>
  </bookViews>
  <sheets>
    <sheet name="Messy_Data" sheetId="1" r:id="rId1"/>
    <sheet name="Sales by category" sheetId="9" r:id="rId2"/>
    <sheet name="Payment_method" sheetId="10" r:id="rId3"/>
    <sheet name="sales_by_product" sheetId="11" r:id="rId4"/>
    <sheet name="sales_by_city" sheetId="12" r:id="rId5"/>
    <sheet name="sales_by_month" sheetId="13" r:id="rId6"/>
    <sheet name="Total Sales" sheetId="14" r:id="rId7"/>
    <sheet name="Total Orders" sheetId="15" r:id="rId8"/>
    <sheet name="Total Quantity" sheetId="16" r:id="rId9"/>
    <sheet name="Cleaned_Data" sheetId="5" r:id="rId10"/>
    <sheet name="Dashboard" sheetId="18" r:id="rId11"/>
  </sheets>
  <calcPr calcId="181029"/>
  <pivotCaches>
    <pivotCache cacheId="21" r:id="rId12"/>
  </pivotCaches>
</workbook>
</file>

<file path=xl/calcChain.xml><?xml version="1.0" encoding="utf-8"?>
<calcChain xmlns="http://schemas.openxmlformats.org/spreadsheetml/2006/main">
  <c r="R2" i="5" l="1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</calcChain>
</file>

<file path=xl/sharedStrings.xml><?xml version="1.0" encoding="utf-8"?>
<sst xmlns="http://schemas.openxmlformats.org/spreadsheetml/2006/main" count="738" uniqueCount="274">
  <si>
    <t>Order_ID</t>
  </si>
  <si>
    <t>Customer_Name</t>
  </si>
  <si>
    <t>City</t>
  </si>
  <si>
    <t>Category</t>
  </si>
  <si>
    <t>Product</t>
  </si>
  <si>
    <t>Order_Date</t>
  </si>
  <si>
    <t>Quantity</t>
  </si>
  <si>
    <t>Unit_Price</t>
  </si>
  <si>
    <t>Email</t>
  </si>
  <si>
    <t>Payment_Method</t>
  </si>
  <si>
    <t>Status</t>
  </si>
  <si>
    <t>Customer_Phone</t>
  </si>
  <si>
    <t xml:space="preserve">  Ali Khan </t>
  </si>
  <si>
    <t>Lahore</t>
  </si>
  <si>
    <t>Electronics</t>
  </si>
  <si>
    <t>Laptop</t>
  </si>
  <si>
    <t>2026-01-05</t>
  </si>
  <si>
    <t>2</t>
  </si>
  <si>
    <t>85000</t>
  </si>
  <si>
    <t>ali.khan@email.com</t>
  </si>
  <si>
    <t>Cash</t>
  </si>
  <si>
    <t>Completed</t>
  </si>
  <si>
    <t>03001234567</t>
  </si>
  <si>
    <t>Sara Ahmed</t>
  </si>
  <si>
    <t>lahore</t>
  </si>
  <si>
    <t>Mouse</t>
  </si>
  <si>
    <t>05/01/2026</t>
  </si>
  <si>
    <t>2,500</t>
  </si>
  <si>
    <t>sara@email.com</t>
  </si>
  <si>
    <t>Card</t>
  </si>
  <si>
    <t>completed</t>
  </si>
  <si>
    <t xml:space="preserve"> Hamza Raza</t>
  </si>
  <si>
    <t>ISLAMABAD</t>
  </si>
  <si>
    <t>Accessories</t>
  </si>
  <si>
    <t xml:space="preserve">Keyboard </t>
  </si>
  <si>
    <t>2026/01/07</t>
  </si>
  <si>
    <t xml:space="preserve">hamza@email.com </t>
  </si>
  <si>
    <t>card</t>
  </si>
  <si>
    <t xml:space="preserve">Completed </t>
  </si>
  <si>
    <t>03111234567</t>
  </si>
  <si>
    <t>Ayesha Malik</t>
  </si>
  <si>
    <t xml:space="preserve">Karachi </t>
  </si>
  <si>
    <t>Office</t>
  </si>
  <si>
    <t>Printer</t>
  </si>
  <si>
    <t>08-Jan-2026</t>
  </si>
  <si>
    <t>28,000</t>
  </si>
  <si>
    <t>ayesha@email.com</t>
  </si>
  <si>
    <t>Bank Transfer</t>
  </si>
  <si>
    <t>Pending</t>
  </si>
  <si>
    <t>03221234567</t>
  </si>
  <si>
    <t>Bilal Shah</t>
  </si>
  <si>
    <t>karachi</t>
  </si>
  <si>
    <t>Office Supplies</t>
  </si>
  <si>
    <t>2026-01-09</t>
  </si>
  <si>
    <t>Bank transfer</t>
  </si>
  <si>
    <t xml:space="preserve">  Noor Fatima</t>
  </si>
  <si>
    <t>Headphones</t>
  </si>
  <si>
    <t>10/01/2026</t>
  </si>
  <si>
    <t>7000</t>
  </si>
  <si>
    <t>noor@email.com</t>
  </si>
  <si>
    <t>03331234567</t>
  </si>
  <si>
    <t>Usman Ali</t>
  </si>
  <si>
    <t>Rawalpindi</t>
  </si>
  <si>
    <t xml:space="preserve">Furniture </t>
  </si>
  <si>
    <t>Chair</t>
  </si>
  <si>
    <t>2026-01-11</t>
  </si>
  <si>
    <t>1</t>
  </si>
  <si>
    <t>18,000</t>
  </si>
  <si>
    <t>usman@email.com</t>
  </si>
  <si>
    <t>Cancelled</t>
  </si>
  <si>
    <t>03441234567</t>
  </si>
  <si>
    <t>Hina Aslam</t>
  </si>
  <si>
    <t>RAWALPINDI</t>
  </si>
  <si>
    <t>Furniture</t>
  </si>
  <si>
    <t>Desk</t>
  </si>
  <si>
    <t>12-Jan-2026</t>
  </si>
  <si>
    <t>hina@email.com</t>
  </si>
  <si>
    <t>03051234567</t>
  </si>
  <si>
    <t>Maha Noor</t>
  </si>
  <si>
    <t xml:space="preserve"> Peshawar</t>
  </si>
  <si>
    <t>USB Cable</t>
  </si>
  <si>
    <t>2026-01-13</t>
  </si>
  <si>
    <t>600</t>
  </si>
  <si>
    <t>maha@email.com</t>
  </si>
  <si>
    <t>Zain Ahmed</t>
  </si>
  <si>
    <t>Peshawar</t>
  </si>
  <si>
    <t>Monitor</t>
  </si>
  <si>
    <t>14/01/2026</t>
  </si>
  <si>
    <t>32,000</t>
  </si>
  <si>
    <t>zain@email.com</t>
  </si>
  <si>
    <t>CARD</t>
  </si>
  <si>
    <t>03161234567</t>
  </si>
  <si>
    <t>Mariam Iqbal</t>
  </si>
  <si>
    <t>16-Jan-2026</t>
  </si>
  <si>
    <t>mariam@email.com</t>
  </si>
  <si>
    <t>03271234567</t>
  </si>
  <si>
    <t>Omar Farooq</t>
  </si>
  <si>
    <t>Islamabad</t>
  </si>
  <si>
    <t>18000</t>
  </si>
  <si>
    <t>omar@email.com</t>
  </si>
  <si>
    <t>03381234567</t>
  </si>
  <si>
    <t xml:space="preserve">Sana Tariq </t>
  </si>
  <si>
    <t>2026-01-19</t>
  </si>
  <si>
    <t>22000</t>
  </si>
  <si>
    <t>sana@email.com</t>
  </si>
  <si>
    <t>Hassan Javed</t>
  </si>
  <si>
    <t>Karachi</t>
  </si>
  <si>
    <t>20/01/2026</t>
  </si>
  <si>
    <t>hassan@email.com</t>
  </si>
  <si>
    <t>03491234567</t>
  </si>
  <si>
    <t>Iqra Saeed</t>
  </si>
  <si>
    <t>21-Jan-2026</t>
  </si>
  <si>
    <t>3</t>
  </si>
  <si>
    <t>7,000</t>
  </si>
  <si>
    <t>iqra@email.com</t>
  </si>
  <si>
    <t>03011234567</t>
  </si>
  <si>
    <t>Adeel Khan</t>
  </si>
  <si>
    <t>2026-01-22</t>
  </si>
  <si>
    <t>adeel@email.com</t>
  </si>
  <si>
    <t>03121234567</t>
  </si>
  <si>
    <t>Fatima Noor</t>
  </si>
  <si>
    <t>Keyboard</t>
  </si>
  <si>
    <t>23/01/2026</t>
  </si>
  <si>
    <t>4500</t>
  </si>
  <si>
    <t>fatima@email.com</t>
  </si>
  <si>
    <t>03231234567</t>
  </si>
  <si>
    <t>Saad Ahmed</t>
  </si>
  <si>
    <t>islamabad</t>
  </si>
  <si>
    <t>24-Jan-2026</t>
  </si>
  <si>
    <t>saad@email.com</t>
  </si>
  <si>
    <t>03341234567</t>
  </si>
  <si>
    <t xml:space="preserve">  Laiba Zahid</t>
  </si>
  <si>
    <t>2026/01/25</t>
  </si>
  <si>
    <t>laiba@email.com</t>
  </si>
  <si>
    <t>03451234567</t>
  </si>
  <si>
    <t>Maryam Ali</t>
  </si>
  <si>
    <t>26-Jan-2026</t>
  </si>
  <si>
    <t>maryam@email.com</t>
  </si>
  <si>
    <t>03061234567</t>
  </si>
  <si>
    <t>Ahmed Raza</t>
  </si>
  <si>
    <t>2026-01-27</t>
  </si>
  <si>
    <t>ahmed@email.com</t>
  </si>
  <si>
    <t>03171234567</t>
  </si>
  <si>
    <t>Nimra Asif</t>
  </si>
  <si>
    <t>28/01/2026</t>
  </si>
  <si>
    <t>22,000</t>
  </si>
  <si>
    <t>nimra@email.com</t>
  </si>
  <si>
    <t>03281234567</t>
  </si>
  <si>
    <t>Rida Khan</t>
  </si>
  <si>
    <t>29-Jan-2026</t>
  </si>
  <si>
    <t>rida@email.com</t>
  </si>
  <si>
    <t>03391234567</t>
  </si>
  <si>
    <t>Daniyal Shah</t>
  </si>
  <si>
    <t>2026-01-30</t>
  </si>
  <si>
    <t>daniyal@email.com</t>
  </si>
  <si>
    <t>Areeba Noor</t>
  </si>
  <si>
    <t>31/01/2026</t>
  </si>
  <si>
    <t>areeba@email.com</t>
  </si>
  <si>
    <t>03071234567</t>
  </si>
  <si>
    <t>2026-02-01</t>
  </si>
  <si>
    <t>bilal@email.com</t>
  </si>
  <si>
    <t>03181234567</t>
  </si>
  <si>
    <t>Hira Malik</t>
  </si>
  <si>
    <t xml:space="preserve">Desk </t>
  </si>
  <si>
    <t>02-Feb-2026</t>
  </si>
  <si>
    <t>hira@email.com</t>
  </si>
  <si>
    <t>03291234567</t>
  </si>
  <si>
    <t>Muneeb Ali</t>
  </si>
  <si>
    <t>2026/02/03</t>
  </si>
  <si>
    <t>muneeb@email.com</t>
  </si>
  <si>
    <t>03301234567</t>
  </si>
  <si>
    <t>Sadia Khan</t>
  </si>
  <si>
    <t>04/02/2026</t>
  </si>
  <si>
    <t>4,500</t>
  </si>
  <si>
    <t>sadia@email.com</t>
  </si>
  <si>
    <t>03401234567</t>
  </si>
  <si>
    <t>Nadia Iqbal</t>
  </si>
  <si>
    <t xml:space="preserve">lahore </t>
  </si>
  <si>
    <t>accessories</t>
  </si>
  <si>
    <t>05-Feb-2026</t>
  </si>
  <si>
    <t>2500</t>
  </si>
  <si>
    <t>nadia@email.com</t>
  </si>
  <si>
    <t>cash</t>
  </si>
  <si>
    <t>03191234567</t>
  </si>
  <si>
    <t>Ali Khan</t>
  </si>
  <si>
    <t/>
  </si>
  <si>
    <t>Hamza Raza</t>
  </si>
  <si>
    <t>hamza@email.com</t>
  </si>
  <si>
    <t>Noor Fatima</t>
  </si>
  <si>
    <t>Sana Tariq</t>
  </si>
  <si>
    <t>Laiba Zahid</t>
  </si>
  <si>
    <t>Not Provided</t>
  </si>
  <si>
    <t>Customer_Name - Copy</t>
  </si>
  <si>
    <t>First Characters</t>
  </si>
  <si>
    <t>Customer_Name - Copy.1</t>
  </si>
  <si>
    <t>Last Characters</t>
  </si>
  <si>
    <t>Email_at</t>
  </si>
  <si>
    <t>3001234567</t>
  </si>
  <si>
    <t>Ali K</t>
  </si>
  <si>
    <t xml:space="preserve"> Khan</t>
  </si>
  <si>
    <t>Sara</t>
  </si>
  <si>
    <t>Ahmed</t>
  </si>
  <si>
    <t>3111234567</t>
  </si>
  <si>
    <t>Hamza</t>
  </si>
  <si>
    <t xml:space="preserve"> Raza</t>
  </si>
  <si>
    <t>3221234567</t>
  </si>
  <si>
    <t>Ayesh</t>
  </si>
  <si>
    <t>Malik</t>
  </si>
  <si>
    <t>Bilal</t>
  </si>
  <si>
    <t xml:space="preserve"> Shah</t>
  </si>
  <si>
    <t>3331234567</t>
  </si>
  <si>
    <t>Noor</t>
  </si>
  <si>
    <t>atima</t>
  </si>
  <si>
    <t>3441234567</t>
  </si>
  <si>
    <t>Usman</t>
  </si>
  <si>
    <t>n Ali</t>
  </si>
  <si>
    <t>3051234567</t>
  </si>
  <si>
    <t>Hina</t>
  </si>
  <si>
    <t>Aslam</t>
  </si>
  <si>
    <t>Maha</t>
  </si>
  <si>
    <t xml:space="preserve"> Noor</t>
  </si>
  <si>
    <t>3161234567</t>
  </si>
  <si>
    <t>Zain</t>
  </si>
  <si>
    <t>3271234567</t>
  </si>
  <si>
    <t>Maria</t>
  </si>
  <si>
    <t>Iqbal</t>
  </si>
  <si>
    <t>3381234567</t>
  </si>
  <si>
    <t>Omar</t>
  </si>
  <si>
    <t>arooq</t>
  </si>
  <si>
    <t>Sana</t>
  </si>
  <si>
    <t>Tariq</t>
  </si>
  <si>
    <t>3491234567</t>
  </si>
  <si>
    <t>Hassa</t>
  </si>
  <si>
    <t>Javed</t>
  </si>
  <si>
    <t>3011234567</t>
  </si>
  <si>
    <t>Iqra</t>
  </si>
  <si>
    <t>Saeed</t>
  </si>
  <si>
    <t>3121234567</t>
  </si>
  <si>
    <t>Adeel</t>
  </si>
  <si>
    <t>3231234567</t>
  </si>
  <si>
    <t>Fatim</t>
  </si>
  <si>
    <t>3341234567</t>
  </si>
  <si>
    <t>Saad</t>
  </si>
  <si>
    <t>3451234567</t>
  </si>
  <si>
    <t>Laiba</t>
  </si>
  <si>
    <t>Zahid</t>
  </si>
  <si>
    <t>3061234567</t>
  </si>
  <si>
    <t>Marya</t>
  </si>
  <si>
    <t>m Ali</t>
  </si>
  <si>
    <t>3171234567</t>
  </si>
  <si>
    <t>3281234567</t>
  </si>
  <si>
    <t>Nimra</t>
  </si>
  <si>
    <t xml:space="preserve"> Asif</t>
  </si>
  <si>
    <t>3391234567</t>
  </si>
  <si>
    <t>Rida</t>
  </si>
  <si>
    <t>Daniy</t>
  </si>
  <si>
    <t>3071234567</t>
  </si>
  <si>
    <t>Areeb</t>
  </si>
  <si>
    <t>3181234567</t>
  </si>
  <si>
    <t>3291234567</t>
  </si>
  <si>
    <t>Hira</t>
  </si>
  <si>
    <t>3301234567</t>
  </si>
  <si>
    <t>Munee</t>
  </si>
  <si>
    <t>b Ali</t>
  </si>
  <si>
    <t>3401234567</t>
  </si>
  <si>
    <t>Sadia</t>
  </si>
  <si>
    <t>3191234567</t>
  </si>
  <si>
    <t>Nadia</t>
  </si>
  <si>
    <t>Total Sales</t>
  </si>
  <si>
    <t>Sum of Total Sales</t>
  </si>
  <si>
    <t>Row Labels</t>
  </si>
  <si>
    <t>Grand Total</t>
  </si>
  <si>
    <t>Count of Order_ID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</si>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</sst>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3" borderId="0" xfId="0" applyFill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 by category!PivotTable4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</c:v>
                </c:pt>
                <c:pt idx="4">
                  <c:v>Office Supplies</c:v>
                </c:pt>
              </c:strCache>
            </c:strRef>
          </c:cat>
          <c:val>
            <c:numRef>
              <c:f>'Sales by category'!$B$4:$B$9</c:f>
              <c:numCache>
                <c:formatCode>General</c:formatCode>
                <c:ptCount val="5"/>
                <c:pt idx="0">
                  <c:v>135500</c:v>
                </c:pt>
                <c:pt idx="1">
                  <c:v>512300</c:v>
                </c:pt>
                <c:pt idx="2">
                  <c:v>218000</c:v>
                </c:pt>
                <c:pt idx="3">
                  <c:v>84000</c:v>
                </c:pt>
                <c:pt idx="4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1-462E-A5EB-389BB3870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529112"/>
        <c:axId val="409532720"/>
      </c:barChart>
      <c:catAx>
        <c:axId val="40952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532720"/>
        <c:crosses val="autoZero"/>
        <c:auto val="1"/>
        <c:lblAlgn val="ctr"/>
        <c:lblOffset val="100"/>
        <c:noMultiLvlLbl val="0"/>
      </c:catAx>
      <c:valAx>
        <c:axId val="4095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52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[Week1_Day3_Messy_Retail_Dataset.xlsx]Payment_method!PivotTable5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Payment_method!$B$3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Payment_method!$A$4:$A$8</c:f>
              <c:strCache>
                <c:ptCount val="4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Not Provided</c:v>
                </c:pt>
              </c:strCache>
            </c:strRef>
          </c:cat>
          <c:val>
            <c:numRef>
              <c:f>Payment_method!$B$4:$B$8</c:f>
              <c:numCache>
                <c:formatCode>General</c:formatCode>
                <c:ptCount val="4"/>
                <c:pt idx="0">
                  <c:v>140000</c:v>
                </c:pt>
                <c:pt idx="1">
                  <c:v>364500</c:v>
                </c:pt>
                <c:pt idx="2">
                  <c:v>437300</c:v>
                </c:pt>
                <c:pt idx="3">
                  <c:v>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B-4527-AE19-AEAEDD878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[Week1_Day3_Messy_Retail_Dataset.xlsx]sales_by_product!PivotTable6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sales_by_product!$A$4:$A$13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USB Cable</c:v>
                </c:pt>
              </c:strCache>
            </c:strRef>
          </c:cat>
          <c:val>
            <c:numRef>
              <c:f>sales_by_product!$B$4:$B$13</c:f>
              <c:numCache>
                <c:formatCode>General</c:formatCode>
                <c:ptCount val="9"/>
                <c:pt idx="0">
                  <c:v>108000</c:v>
                </c:pt>
                <c:pt idx="1">
                  <c:v>110000</c:v>
                </c:pt>
                <c:pt idx="2">
                  <c:v>63000</c:v>
                </c:pt>
                <c:pt idx="3">
                  <c:v>36000</c:v>
                </c:pt>
                <c:pt idx="4">
                  <c:v>340000</c:v>
                </c:pt>
                <c:pt idx="5">
                  <c:v>160000</c:v>
                </c:pt>
                <c:pt idx="6">
                  <c:v>35000</c:v>
                </c:pt>
                <c:pt idx="7">
                  <c:v>140000</c:v>
                </c:pt>
                <c:pt idx="8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B-48F2-BE1E-7C76EC95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172112"/>
        <c:axId val="408169816"/>
      </c:barChart>
      <c:catAx>
        <c:axId val="4081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69816"/>
        <c:crosses val="autoZero"/>
        <c:auto val="1"/>
        <c:lblAlgn val="ctr"/>
        <c:lblOffset val="100"/>
        <c:noMultiLvlLbl val="0"/>
      </c:catAx>
      <c:valAx>
        <c:axId val="40816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[Week1_Day3_Messy_Retail_Dataset.xlsx]sales_by_city!PivotTable7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sales_by_city!$A$4:$A$9</c:f>
              <c:strCache>
                <c:ptCount val="5"/>
                <c:pt idx="0">
                  <c:v>Islamabad</c:v>
                </c:pt>
                <c:pt idx="1">
                  <c:v>Karachi</c:v>
                </c:pt>
                <c:pt idx="2">
                  <c:v>Lahore</c:v>
                </c:pt>
                <c:pt idx="3">
                  <c:v>Peshawar</c:v>
                </c:pt>
                <c:pt idx="4">
                  <c:v>Rawalpindi</c:v>
                </c:pt>
              </c:strCache>
            </c:strRef>
          </c:cat>
          <c:val>
            <c:numRef>
              <c:f>sales_by_city!$B$4:$B$9</c:f>
              <c:numCache>
                <c:formatCode>General</c:formatCode>
                <c:ptCount val="5"/>
                <c:pt idx="0">
                  <c:v>135000</c:v>
                </c:pt>
                <c:pt idx="1">
                  <c:v>297000</c:v>
                </c:pt>
                <c:pt idx="2">
                  <c:v>251800</c:v>
                </c:pt>
                <c:pt idx="3">
                  <c:v>121000</c:v>
                </c:pt>
                <c:pt idx="4">
                  <c:v>201000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B-4829-808F-8DC83F448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7730024"/>
        <c:axId val="677725104"/>
      </c:barChart>
      <c:catAx>
        <c:axId val="677730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725104"/>
        <c:crosses val="autoZero"/>
        <c:auto val="1"/>
        <c:lblAlgn val="ctr"/>
        <c:lblOffset val="100"/>
        <c:noMultiLvlLbl val="0"/>
      </c:catAx>
      <c:valAx>
        <c:axId val="67772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73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[Week1_Day3_Messy_Retail_Dataset.xlsx]sales_by_month!PivotTable8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sales_by_month!$B$3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sales_by_month!$A$4:$A$33</c:f>
              <c:strCache>
                <c:ptCount val="29"/>
                <c:pt idx="1">
                  <c:v>1/5/2026</c:v>
                </c:pt>
                <c:pt idx="2">
                  <c:v>1/7/2026</c:v>
                </c:pt>
                <c:pt idx="3">
                  <c:v>1/8/2026</c:v>
                </c:pt>
                <c:pt idx="4">
                  <c:v>1/9/2026</c:v>
                </c:pt>
                <c:pt idx="5">
                  <c:v>1/10/2026</c:v>
                </c:pt>
                <c:pt idx="6">
                  <c:v>1/11/2026</c:v>
                </c:pt>
                <c:pt idx="7">
                  <c:v>1/12/2026</c:v>
                </c:pt>
                <c:pt idx="8">
                  <c:v>1/13/2026</c:v>
                </c:pt>
                <c:pt idx="9">
                  <c:v>1/14/2026</c:v>
                </c:pt>
                <c:pt idx="10">
                  <c:v>1/16/2026</c:v>
                </c:pt>
                <c:pt idx="11">
                  <c:v>1/19/2026</c:v>
                </c:pt>
                <c:pt idx="12">
                  <c:v>1/20/2026</c:v>
                </c:pt>
                <c:pt idx="13">
                  <c:v>1/21/2026</c:v>
                </c:pt>
                <c:pt idx="14">
                  <c:v>1/22/2026</c:v>
                </c:pt>
                <c:pt idx="15">
                  <c:v>1/23/2026</c:v>
                </c:pt>
                <c:pt idx="16">
                  <c:v>1/24/2026</c:v>
                </c:pt>
                <c:pt idx="17">
                  <c:v>1/25/2026</c:v>
                </c:pt>
                <c:pt idx="18">
                  <c:v>1/26/2026</c:v>
                </c:pt>
                <c:pt idx="19">
                  <c:v>1/27/2026</c:v>
                </c:pt>
                <c:pt idx="20">
                  <c:v>1/28/2026</c:v>
                </c:pt>
                <c:pt idx="21">
                  <c:v>1/29/2026</c:v>
                </c:pt>
                <c:pt idx="22">
                  <c:v>1/30/2026</c:v>
                </c:pt>
                <c:pt idx="23">
                  <c:v>1/31/2026</c:v>
                </c:pt>
                <c:pt idx="24">
                  <c:v>2/1/2026</c:v>
                </c:pt>
                <c:pt idx="25">
                  <c:v>2/2/2026</c:v>
                </c:pt>
                <c:pt idx="26">
                  <c:v>2/3/2026</c:v>
                </c:pt>
                <c:pt idx="27">
                  <c:v>2/4/2026</c:v>
                </c:pt>
                <c:pt idx="28">
                  <c:v>2/5/2026</c:v>
                </c:pt>
              </c:strCache>
            </c:strRef>
          </c:cat>
          <c:val>
            <c:numRef>
              <c:f>sales_by_month!$B$4:$B$33</c:f>
              <c:numCache>
                <c:formatCode>General</c:formatCode>
                <c:ptCount val="29"/>
                <c:pt idx="0">
                  <c:v>54000</c:v>
                </c:pt>
                <c:pt idx="1">
                  <c:v>177500</c:v>
                </c:pt>
                <c:pt idx="2">
                  <c:v>9000</c:v>
                </c:pt>
                <c:pt idx="3">
                  <c:v>28000</c:v>
                </c:pt>
                <c:pt idx="4">
                  <c:v>56000</c:v>
                </c:pt>
                <c:pt idx="5">
                  <c:v>28000</c:v>
                </c:pt>
                <c:pt idx="6">
                  <c:v>18000</c:v>
                </c:pt>
                <c:pt idx="7">
                  <c:v>44000</c:v>
                </c:pt>
                <c:pt idx="8">
                  <c:v>3000</c:v>
                </c:pt>
                <c:pt idx="9">
                  <c:v>32000</c:v>
                </c:pt>
                <c:pt idx="10">
                  <c:v>5000</c:v>
                </c:pt>
                <c:pt idx="11">
                  <c:v>0</c:v>
                </c:pt>
                <c:pt idx="12">
                  <c:v>64000</c:v>
                </c:pt>
                <c:pt idx="13">
                  <c:v>21000</c:v>
                </c:pt>
                <c:pt idx="14">
                  <c:v>4800</c:v>
                </c:pt>
                <c:pt idx="15">
                  <c:v>9000</c:v>
                </c:pt>
                <c:pt idx="16">
                  <c:v>28000</c:v>
                </c:pt>
                <c:pt idx="17">
                  <c:v>36000</c:v>
                </c:pt>
                <c:pt idx="18">
                  <c:v>85000</c:v>
                </c:pt>
                <c:pt idx="19">
                  <c:v>15000</c:v>
                </c:pt>
                <c:pt idx="20">
                  <c:v>22000</c:v>
                </c:pt>
                <c:pt idx="21">
                  <c:v>64000</c:v>
                </c:pt>
                <c:pt idx="22">
                  <c:v>6000</c:v>
                </c:pt>
                <c:pt idx="23">
                  <c:v>14000</c:v>
                </c:pt>
                <c:pt idx="24">
                  <c:v>28000</c:v>
                </c:pt>
                <c:pt idx="25">
                  <c:v>44000</c:v>
                </c:pt>
                <c:pt idx="26">
                  <c:v>85000</c:v>
                </c:pt>
                <c:pt idx="27">
                  <c:v>18000</c:v>
                </c:pt>
                <c:pt idx="2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8-4C24-BE1B-32670E9E8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819080"/>
        <c:axId val="680822360"/>
      </c:lineChart>
      <c:catAx>
        <c:axId val="68081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22360"/>
        <c:crosses val="autoZero"/>
        <c:auto val="1"/>
        <c:lblAlgn val="ctr"/>
        <c:lblOffset val="100"/>
        <c:noMultiLvlLbl val="0"/>
      </c:catAx>
      <c:valAx>
        <c:axId val="68082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1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 by category!PivotTable4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</c:v>
                </c:pt>
                <c:pt idx="4">
                  <c:v>Office Supplies</c:v>
                </c:pt>
              </c:strCache>
            </c:strRef>
          </c:cat>
          <c:val>
            <c:numRef>
              <c:f>'Sales by category'!$B$4:$B$9</c:f>
              <c:numCache>
                <c:formatCode>General</c:formatCode>
                <c:ptCount val="5"/>
                <c:pt idx="0">
                  <c:v>135500</c:v>
                </c:pt>
                <c:pt idx="1">
                  <c:v>512300</c:v>
                </c:pt>
                <c:pt idx="2">
                  <c:v>218000</c:v>
                </c:pt>
                <c:pt idx="3">
                  <c:v>84000</c:v>
                </c:pt>
                <c:pt idx="4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D-4E10-BF88-95FBC10DB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9529112"/>
        <c:axId val="409532720"/>
      </c:barChart>
      <c:catAx>
        <c:axId val="40952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532720"/>
        <c:crosses val="autoZero"/>
        <c:auto val="1"/>
        <c:lblAlgn val="ctr"/>
        <c:lblOffset val="100"/>
        <c:noMultiLvlLbl val="0"/>
      </c:catAx>
      <c:valAx>
        <c:axId val="4095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52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[Week1_Day3_Messy_Retail_Dataset.xlsx]sales_by_product!PivotTable6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sales_by_product!$A$4:$A$13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USB Cable</c:v>
                </c:pt>
              </c:strCache>
            </c:strRef>
          </c:cat>
          <c:val>
            <c:numRef>
              <c:f>sales_by_product!$B$4:$B$13</c:f>
              <c:numCache>
                <c:formatCode>General</c:formatCode>
                <c:ptCount val="9"/>
                <c:pt idx="0">
                  <c:v>108000</c:v>
                </c:pt>
                <c:pt idx="1">
                  <c:v>110000</c:v>
                </c:pt>
                <c:pt idx="2">
                  <c:v>63000</c:v>
                </c:pt>
                <c:pt idx="3">
                  <c:v>36000</c:v>
                </c:pt>
                <c:pt idx="4">
                  <c:v>340000</c:v>
                </c:pt>
                <c:pt idx="5">
                  <c:v>160000</c:v>
                </c:pt>
                <c:pt idx="6">
                  <c:v>35000</c:v>
                </c:pt>
                <c:pt idx="7">
                  <c:v>140000</c:v>
                </c:pt>
                <c:pt idx="8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F-4218-9D62-DE7DD7C6F2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8172112"/>
        <c:axId val="408169816"/>
      </c:barChart>
      <c:catAx>
        <c:axId val="4081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69816"/>
        <c:crosses val="autoZero"/>
        <c:auto val="1"/>
        <c:lblAlgn val="ctr"/>
        <c:lblOffset val="100"/>
        <c:noMultiLvlLbl val="0"/>
      </c:catAx>
      <c:valAx>
        <c:axId val="40816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[Week1_Day3_Messy_Retail_Dataset.xlsx]sales_by_city!PivotTable7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sales_by_city!$A$4:$A$9</c:f>
              <c:strCache>
                <c:ptCount val="5"/>
                <c:pt idx="0">
                  <c:v>Islamabad</c:v>
                </c:pt>
                <c:pt idx="1">
                  <c:v>Karachi</c:v>
                </c:pt>
                <c:pt idx="2">
                  <c:v>Lahore</c:v>
                </c:pt>
                <c:pt idx="3">
                  <c:v>Peshawar</c:v>
                </c:pt>
                <c:pt idx="4">
                  <c:v>Rawalpindi</c:v>
                </c:pt>
              </c:strCache>
            </c:strRef>
          </c:cat>
          <c:val>
            <c:numRef>
              <c:f>sales_by_city!$B$4:$B$9</c:f>
              <c:numCache>
                <c:formatCode>General</c:formatCode>
                <c:ptCount val="5"/>
                <c:pt idx="0">
                  <c:v>135000</c:v>
                </c:pt>
                <c:pt idx="1">
                  <c:v>297000</c:v>
                </c:pt>
                <c:pt idx="2">
                  <c:v>251800</c:v>
                </c:pt>
                <c:pt idx="3">
                  <c:v>121000</c:v>
                </c:pt>
                <c:pt idx="4">
                  <c:v>201000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3-4254-88E8-75F9E85CA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7730024"/>
        <c:axId val="677725104"/>
      </c:barChart>
      <c:catAx>
        <c:axId val="677730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725104"/>
        <c:crosses val="autoZero"/>
        <c:auto val="1"/>
        <c:lblAlgn val="ctr"/>
        <c:lblOffset val="100"/>
        <c:noMultiLvlLbl val="0"/>
      </c:catAx>
      <c:valAx>
        <c:axId val="67772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73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[Week1_Day3_Messy_Retail_Dataset.xlsx]sales_by_month!PivotTable8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sales_by_month!$B$3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sales_by_month!$A$4:$A$33</c:f>
              <c:strCache>
                <c:ptCount val="29"/>
                <c:pt idx="1">
                  <c:v>1/5/2026</c:v>
                </c:pt>
                <c:pt idx="2">
                  <c:v>1/7/2026</c:v>
                </c:pt>
                <c:pt idx="3">
                  <c:v>1/8/2026</c:v>
                </c:pt>
                <c:pt idx="4">
                  <c:v>1/9/2026</c:v>
                </c:pt>
                <c:pt idx="5">
                  <c:v>1/10/2026</c:v>
                </c:pt>
                <c:pt idx="6">
                  <c:v>1/11/2026</c:v>
                </c:pt>
                <c:pt idx="7">
                  <c:v>1/12/2026</c:v>
                </c:pt>
                <c:pt idx="8">
                  <c:v>1/13/2026</c:v>
                </c:pt>
                <c:pt idx="9">
                  <c:v>1/14/2026</c:v>
                </c:pt>
                <c:pt idx="10">
                  <c:v>1/16/2026</c:v>
                </c:pt>
                <c:pt idx="11">
                  <c:v>1/19/2026</c:v>
                </c:pt>
                <c:pt idx="12">
                  <c:v>1/20/2026</c:v>
                </c:pt>
                <c:pt idx="13">
                  <c:v>1/21/2026</c:v>
                </c:pt>
                <c:pt idx="14">
                  <c:v>1/22/2026</c:v>
                </c:pt>
                <c:pt idx="15">
                  <c:v>1/23/2026</c:v>
                </c:pt>
                <c:pt idx="16">
                  <c:v>1/24/2026</c:v>
                </c:pt>
                <c:pt idx="17">
                  <c:v>1/25/2026</c:v>
                </c:pt>
                <c:pt idx="18">
                  <c:v>1/26/2026</c:v>
                </c:pt>
                <c:pt idx="19">
                  <c:v>1/27/2026</c:v>
                </c:pt>
                <c:pt idx="20">
                  <c:v>1/28/2026</c:v>
                </c:pt>
                <c:pt idx="21">
                  <c:v>1/29/2026</c:v>
                </c:pt>
                <c:pt idx="22">
                  <c:v>1/30/2026</c:v>
                </c:pt>
                <c:pt idx="23">
                  <c:v>1/31/2026</c:v>
                </c:pt>
                <c:pt idx="24">
                  <c:v>2/1/2026</c:v>
                </c:pt>
                <c:pt idx="25">
                  <c:v>2/2/2026</c:v>
                </c:pt>
                <c:pt idx="26">
                  <c:v>2/3/2026</c:v>
                </c:pt>
                <c:pt idx="27">
                  <c:v>2/4/2026</c:v>
                </c:pt>
                <c:pt idx="28">
                  <c:v>2/5/2026</c:v>
                </c:pt>
              </c:strCache>
            </c:strRef>
          </c:cat>
          <c:val>
            <c:numRef>
              <c:f>sales_by_month!$B$4:$B$33</c:f>
              <c:numCache>
                <c:formatCode>General</c:formatCode>
                <c:ptCount val="29"/>
                <c:pt idx="0">
                  <c:v>54000</c:v>
                </c:pt>
                <c:pt idx="1">
                  <c:v>177500</c:v>
                </c:pt>
                <c:pt idx="2">
                  <c:v>9000</c:v>
                </c:pt>
                <c:pt idx="3">
                  <c:v>28000</c:v>
                </c:pt>
                <c:pt idx="4">
                  <c:v>56000</c:v>
                </c:pt>
                <c:pt idx="5">
                  <c:v>28000</c:v>
                </c:pt>
                <c:pt idx="6">
                  <c:v>18000</c:v>
                </c:pt>
                <c:pt idx="7">
                  <c:v>44000</c:v>
                </c:pt>
                <c:pt idx="8">
                  <c:v>3000</c:v>
                </c:pt>
                <c:pt idx="9">
                  <c:v>32000</c:v>
                </c:pt>
                <c:pt idx="10">
                  <c:v>5000</c:v>
                </c:pt>
                <c:pt idx="11">
                  <c:v>0</c:v>
                </c:pt>
                <c:pt idx="12">
                  <c:v>64000</c:v>
                </c:pt>
                <c:pt idx="13">
                  <c:v>21000</c:v>
                </c:pt>
                <c:pt idx="14">
                  <c:v>4800</c:v>
                </c:pt>
                <c:pt idx="15">
                  <c:v>9000</c:v>
                </c:pt>
                <c:pt idx="16">
                  <c:v>28000</c:v>
                </c:pt>
                <c:pt idx="17">
                  <c:v>36000</c:v>
                </c:pt>
                <c:pt idx="18">
                  <c:v>85000</c:v>
                </c:pt>
                <c:pt idx="19">
                  <c:v>15000</c:v>
                </c:pt>
                <c:pt idx="20">
                  <c:v>22000</c:v>
                </c:pt>
                <c:pt idx="21">
                  <c:v>64000</c:v>
                </c:pt>
                <c:pt idx="22">
                  <c:v>6000</c:v>
                </c:pt>
                <c:pt idx="23">
                  <c:v>14000</c:v>
                </c:pt>
                <c:pt idx="24">
                  <c:v>28000</c:v>
                </c:pt>
                <c:pt idx="25">
                  <c:v>44000</c:v>
                </c:pt>
                <c:pt idx="26">
                  <c:v>85000</c:v>
                </c:pt>
                <c:pt idx="27">
                  <c:v>18000</c:v>
                </c:pt>
                <c:pt idx="2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E-45A3-81D0-7A3853C91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819080"/>
        <c:axId val="680822360"/>
      </c:lineChart>
      <c:catAx>
        <c:axId val="68081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22360"/>
        <c:crosses val="autoZero"/>
        <c:auto val="1"/>
        <c:lblAlgn val="ctr"/>
        <c:lblOffset val="100"/>
        <c:noMultiLvlLbl val="0"/>
      </c:catAx>
      <c:valAx>
        <c:axId val="68082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1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[Week1_Day3_Messy_Retail_Dataset.xlsx]Payment_method!PivotTable5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Payment_method!$B$3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09-4DB1-B9F9-F5BF4935BF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09-4DB1-B9F9-F5BF4935BF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09-4DB1-B9F9-F5BF4935BF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09-4DB1-B9F9-F5BF4935BFE2}"/>
              </c:ext>
            </c:extLst>
          </c:dPt>
          <c:cat>
            <c:strRef>
              <c:f>Payment_method!$A$4:$A$8</c:f>
              <c:strCache>
                <c:ptCount val="4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Not Provided</c:v>
                </c:pt>
              </c:strCache>
            </c:strRef>
          </c:cat>
          <c:val>
            <c:numRef>
              <c:f>Payment_method!$B$4:$B$8</c:f>
              <c:numCache>
                <c:formatCode>General</c:formatCode>
                <c:ptCount val="4"/>
                <c:pt idx="0">
                  <c:v>140000</c:v>
                </c:pt>
                <c:pt idx="1">
                  <c:v>364500</c:v>
                </c:pt>
                <c:pt idx="2">
                  <c:v>437300</c:v>
                </c:pt>
                <c:pt idx="3">
                  <c:v>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09-4DB1-B9F9-F5BF4935B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142875</xdr:rowOff>
    </xdr:from>
    <xdr:to>
      <xdr:col>10</xdr:col>
      <xdr:colOff>495300</xdr:colOff>
      <xdr:row>14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F5083-CD49-434E-B3FA-05848D9D1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3</xdr:row>
      <xdr:rowOff>60325</xdr:rowOff>
    </xdr:from>
    <xdr:to>
      <xdr:col>9</xdr:col>
      <xdr:colOff>342900</xdr:colOff>
      <xdr:row>14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8BFF1-6854-43E9-965F-08E8DD344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</xdr:row>
      <xdr:rowOff>155575</xdr:rowOff>
    </xdr:from>
    <xdr:to>
      <xdr:col>10</xdr:col>
      <xdr:colOff>146050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4F1B3-463C-4D42-8C2F-20A42AFD4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161925</xdr:rowOff>
    </xdr:from>
    <xdr:to>
      <xdr:col>10</xdr:col>
      <xdr:colOff>184150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3CA0F-BF23-4754-B949-5AF749E5A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123825</xdr:rowOff>
    </xdr:from>
    <xdr:to>
      <xdr:col>10</xdr:col>
      <xdr:colOff>393700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39B73-1E93-4DC9-A7B4-16B180DA7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165100</xdr:rowOff>
    </xdr:from>
    <xdr:to>
      <xdr:col>2</xdr:col>
      <xdr:colOff>552450</xdr:colOff>
      <xdr:row>3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A3B242-6312-4879-98D7-9985F319014C}"/>
            </a:ext>
          </a:extLst>
        </xdr:cNvPr>
        <xdr:cNvSpPr txBox="1"/>
      </xdr:nvSpPr>
      <xdr:spPr>
        <a:xfrm>
          <a:off x="196850" y="165100"/>
          <a:ext cx="1574800" cy="501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      Total Sales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1005800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3</xdr:col>
      <xdr:colOff>146050</xdr:colOff>
      <xdr:row>1</xdr:row>
      <xdr:rowOff>0</xdr:rowOff>
    </xdr:from>
    <xdr:to>
      <xdr:col>5</xdr:col>
      <xdr:colOff>374650</xdr:colOff>
      <xdr:row>3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CBEDD4-025D-4902-BA73-D35F24F177D9}"/>
            </a:ext>
          </a:extLst>
        </xdr:cNvPr>
        <xdr:cNvSpPr txBox="1"/>
      </xdr:nvSpPr>
      <xdr:spPr>
        <a:xfrm>
          <a:off x="1974850" y="184150"/>
          <a:ext cx="14478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Total Quantity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79</a:t>
          </a:r>
          <a:endParaRPr lang="en-US" sz="1100"/>
        </a:p>
      </xdr:txBody>
    </xdr:sp>
    <xdr:clientData/>
  </xdr:twoCellAnchor>
  <xdr:twoCellAnchor>
    <xdr:from>
      <xdr:col>5</xdr:col>
      <xdr:colOff>603250</xdr:colOff>
      <xdr:row>1</xdr:row>
      <xdr:rowOff>38100</xdr:rowOff>
    </xdr:from>
    <xdr:to>
      <xdr:col>8</xdr:col>
      <xdr:colOff>215900</xdr:colOff>
      <xdr:row>3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6FD5B9-EE74-4F9F-9487-0D8319B3769C}"/>
            </a:ext>
          </a:extLst>
        </xdr:cNvPr>
        <xdr:cNvSpPr txBox="1"/>
      </xdr:nvSpPr>
      <xdr:spPr>
        <a:xfrm>
          <a:off x="3651250" y="222250"/>
          <a:ext cx="1441450" cy="46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  Total Orders</a:t>
          </a:r>
        </a:p>
        <a:p>
          <a:r>
            <a:rPr lang="en-US" sz="1100"/>
            <a:t>                 30</a:t>
          </a:r>
        </a:p>
      </xdr:txBody>
    </xdr:sp>
    <xdr:clientData/>
  </xdr:twoCellAnchor>
  <xdr:twoCellAnchor>
    <xdr:from>
      <xdr:col>0</xdr:col>
      <xdr:colOff>171450</xdr:colOff>
      <xdr:row>4</xdr:row>
      <xdr:rowOff>44449</xdr:rowOff>
    </xdr:from>
    <xdr:to>
      <xdr:col>5</xdr:col>
      <xdr:colOff>25400</xdr:colOff>
      <xdr:row>13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2A7A34-A082-4A3C-992B-B9AD31F97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215900</xdr:colOff>
      <xdr:row>4</xdr:row>
      <xdr:rowOff>31751</xdr:rowOff>
    </xdr:from>
    <xdr:to>
      <xdr:col>10</xdr:col>
      <xdr:colOff>558800</xdr:colOff>
      <xdr:row>14</xdr:row>
      <xdr:rowOff>133351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3A5CAB-D76C-4104-98ED-DBB604962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395212</xdr:colOff>
      <xdr:row>15</xdr:row>
      <xdr:rowOff>52313</xdr:rowOff>
    </xdr:from>
    <xdr:to>
      <xdr:col>7</xdr:col>
      <xdr:colOff>113090</xdr:colOff>
      <xdr:row>25</xdr:row>
      <xdr:rowOff>84064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A43D42-BD9D-43D7-AC57-3A30F3604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153307</xdr:colOff>
      <xdr:row>3</xdr:row>
      <xdr:rowOff>115208</xdr:rowOff>
    </xdr:from>
    <xdr:to>
      <xdr:col>22</xdr:col>
      <xdr:colOff>77108</xdr:colOff>
      <xdr:row>14</xdr:row>
      <xdr:rowOff>153308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F16A61-97C8-4291-8DD2-93C68C9C2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355297</xdr:colOff>
      <xdr:row>15</xdr:row>
      <xdr:rowOff>52916</xdr:rowOff>
    </xdr:from>
    <xdr:to>
      <xdr:col>14</xdr:col>
      <xdr:colOff>241904</xdr:colOff>
      <xdr:row>25</xdr:row>
      <xdr:rowOff>105835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6A30E8-3199-4F8D-B186-A214874E6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WICK" refreshedDate="46255.699260879628" createdVersion="6" refreshedVersion="6" minRefreshableVersion="3" recordCount="30" xr:uid="{972D0FD8-9EB9-4A39-AC86-ACCBCF96D9AD}">
  <cacheSource type="worksheet">
    <worksheetSource name="Table2"/>
  </cacheSource>
  <cacheFields count="18">
    <cacheField name="Order_ID" numFmtId="1">
      <sharedItems containsSemiMixedTypes="0" containsString="0" containsNumber="1" containsInteger="1" minValue="1001" maxValue="1032"/>
    </cacheField>
    <cacheField name="Customer_Name" numFmtId="0">
      <sharedItems/>
    </cacheField>
    <cacheField name="City" numFmtId="0">
      <sharedItems count="5">
        <s v="Lahore"/>
        <s v="Islamabad"/>
        <s v="Karachi"/>
        <s v="Rawalpindi"/>
        <s v="Peshawar"/>
      </sharedItems>
    </cacheField>
    <cacheField name="Category" numFmtId="0">
      <sharedItems count="5">
        <s v="Electronics"/>
        <s v="Accessories"/>
        <s v="Office"/>
        <s v="Office Supplies"/>
        <s v="Furniture"/>
      </sharedItems>
    </cacheField>
    <cacheField name="Product" numFmtId="0">
      <sharedItems count="9">
        <s v="Laptop"/>
        <s v="Mouse"/>
        <s v="Keyboard"/>
        <s v="Printer"/>
        <s v="Headphones"/>
        <s v="Chair"/>
        <s v="Desk"/>
        <s v="USB Cable"/>
        <s v="Monitor"/>
      </sharedItems>
    </cacheField>
    <cacheField name="Order_Date" numFmtId="15">
      <sharedItems containsDate="1" containsMixedTypes="1" minDate="2026-01-05T00:00:00" maxDate="2026-02-06T00:00:00" count="29">
        <d v="2026-01-05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6T00:00:00"/>
        <s v="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</sharedItems>
    </cacheField>
    <cacheField name="Quantity" numFmtId="1">
      <sharedItems containsString="0" containsBlank="1" containsNumber="1" containsInteger="1" minValue="1" maxValue="10"/>
    </cacheField>
    <cacheField name="Unit_Price" numFmtId="1">
      <sharedItems containsSemiMixedTypes="0" containsString="0" containsNumber="1" containsInteger="1" minValue="600" maxValue="85000"/>
    </cacheField>
    <cacheField name="Email" numFmtId="0">
      <sharedItems/>
    </cacheField>
    <cacheField name="Payment_Method" numFmtId="0">
      <sharedItems count="4">
        <s v="Cash"/>
        <s v="Card"/>
        <s v="Bank Transfer"/>
        <s v="Not Provided"/>
      </sharedItems>
    </cacheField>
    <cacheField name="Status" numFmtId="0">
      <sharedItems/>
    </cacheField>
    <cacheField name="Customer_Phone" numFmtId="0">
      <sharedItems/>
    </cacheField>
    <cacheField name="Customer_Name - Copy" numFmtId="0">
      <sharedItems/>
    </cacheField>
    <cacheField name="First Characters" numFmtId="0">
      <sharedItems/>
    </cacheField>
    <cacheField name="Customer_Name - Copy.1" numFmtId="0">
      <sharedItems/>
    </cacheField>
    <cacheField name="Last Characters" numFmtId="0">
      <sharedItems/>
    </cacheField>
    <cacheField name="Email_at" numFmtId="1">
      <sharedItems containsSemiMixedTypes="0" containsString="0" containsNumber="1" containsInteger="1" minValue="-1" maxValue="8"/>
    </cacheField>
    <cacheField name="Total Sales" numFmtId="0">
      <sharedItems containsSemiMixedTypes="0" containsString="0" containsNumber="1" containsInteger="1" minValue="0" maxValue="1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Ali Khan"/>
    <x v="0"/>
    <x v="0"/>
    <x v="0"/>
    <x v="0"/>
    <n v="2"/>
    <n v="85000"/>
    <s v="ali.khan@email.com"/>
    <x v="0"/>
    <s v="Completed"/>
    <s v="3001234567"/>
    <s v="Ali Khan"/>
    <s v="Ali K"/>
    <s v="Ali Khan"/>
    <s v=" Khan"/>
    <n v="8"/>
    <n v="170000"/>
  </r>
  <r>
    <n v="1002"/>
    <s v="Sara Ahmed"/>
    <x v="0"/>
    <x v="0"/>
    <x v="1"/>
    <x v="0"/>
    <n v="3"/>
    <n v="2500"/>
    <s v="sara@email.com"/>
    <x v="1"/>
    <s v="Completed"/>
    <s v="Not Provided"/>
    <s v="Sara Ahmed"/>
    <s v="Sara"/>
    <s v="Sara Ahmed"/>
    <s v="Ahmed"/>
    <n v="4"/>
    <n v="7500"/>
  </r>
  <r>
    <n v="1003"/>
    <s v="Hamza Raza"/>
    <x v="1"/>
    <x v="1"/>
    <x v="2"/>
    <x v="1"/>
    <n v="2"/>
    <n v="4500"/>
    <s v="hamza@email.com"/>
    <x v="1"/>
    <s v="Completed"/>
    <s v="3111234567"/>
    <s v="Hamza Raza"/>
    <s v="Hamza"/>
    <s v="Hamza Raza"/>
    <s v=" Raza"/>
    <n v="5"/>
    <n v="9000"/>
  </r>
  <r>
    <n v="1004"/>
    <s v="Ayesha Malik"/>
    <x v="2"/>
    <x v="2"/>
    <x v="3"/>
    <x v="2"/>
    <n v="1"/>
    <n v="28000"/>
    <s v="ayesha@email.com"/>
    <x v="2"/>
    <s v="Pending"/>
    <s v="3221234567"/>
    <s v="Ayesha Malik"/>
    <s v="Ayesh"/>
    <s v="Ayesha Malik"/>
    <s v="Malik"/>
    <n v="6"/>
    <n v="28000"/>
  </r>
  <r>
    <n v="1005"/>
    <s v="Bilal Shah"/>
    <x v="2"/>
    <x v="3"/>
    <x v="3"/>
    <x v="3"/>
    <n v="2"/>
    <n v="28000"/>
    <s v="Not Provided"/>
    <x v="2"/>
    <s v="Pending"/>
    <s v="Not Provided"/>
    <s v="Bilal Shah"/>
    <s v="Bilal"/>
    <s v="Bilal Shah"/>
    <s v=" Shah"/>
    <n v="-1"/>
    <n v="56000"/>
  </r>
  <r>
    <n v="1006"/>
    <s v="Noor Fatima"/>
    <x v="0"/>
    <x v="1"/>
    <x v="4"/>
    <x v="4"/>
    <n v="4"/>
    <n v="7000"/>
    <s v="noor@email.com"/>
    <x v="0"/>
    <s v="Completed"/>
    <s v="3331234567"/>
    <s v="Noor Fatima"/>
    <s v="Noor"/>
    <s v="Noor Fatima"/>
    <s v="atima"/>
    <n v="4"/>
    <n v="28000"/>
  </r>
  <r>
    <n v="1007"/>
    <s v="Usman Ali"/>
    <x v="3"/>
    <x v="4"/>
    <x v="5"/>
    <x v="5"/>
    <n v="1"/>
    <n v="18000"/>
    <s v="usman@email.com"/>
    <x v="1"/>
    <s v="Cancelled"/>
    <s v="3441234567"/>
    <s v="Usman Ali"/>
    <s v="Usman"/>
    <s v="Usman Ali"/>
    <s v="n Ali"/>
    <n v="5"/>
    <n v="18000"/>
  </r>
  <r>
    <n v="1008"/>
    <s v="Hina Aslam"/>
    <x v="3"/>
    <x v="4"/>
    <x v="6"/>
    <x v="6"/>
    <n v="2"/>
    <n v="22000"/>
    <s v="hina@email.com"/>
    <x v="1"/>
    <s v="Completed"/>
    <s v="3051234567"/>
    <s v="Hina Aslam"/>
    <s v="Hina"/>
    <s v="Hina Aslam"/>
    <s v="Aslam"/>
    <n v="4"/>
    <n v="44000"/>
  </r>
  <r>
    <n v="1009"/>
    <s v="Maha Noor"/>
    <x v="4"/>
    <x v="1"/>
    <x v="7"/>
    <x v="7"/>
    <n v="5"/>
    <n v="600"/>
    <s v="maha@email.com"/>
    <x v="0"/>
    <s v="Completed"/>
    <s v="Not Provided"/>
    <s v="Maha Noor"/>
    <s v="Maha"/>
    <s v="Maha Noor"/>
    <s v=" Noor"/>
    <n v="4"/>
    <n v="3000"/>
  </r>
  <r>
    <n v="1010"/>
    <s v="Zain Ahmed"/>
    <x v="4"/>
    <x v="0"/>
    <x v="8"/>
    <x v="8"/>
    <n v="1"/>
    <n v="32000"/>
    <s v="zain@email.com"/>
    <x v="1"/>
    <s v="Completed"/>
    <s v="3161234567"/>
    <s v="Zain Ahmed"/>
    <s v="Zain"/>
    <s v="Zain Ahmed"/>
    <s v="Ahmed"/>
    <n v="4"/>
    <n v="32000"/>
  </r>
  <r>
    <n v="1012"/>
    <s v="Mariam Iqbal"/>
    <x v="0"/>
    <x v="1"/>
    <x v="1"/>
    <x v="9"/>
    <n v="2"/>
    <n v="2500"/>
    <s v="mariam@email.com"/>
    <x v="0"/>
    <s v="Completed"/>
    <s v="3271234567"/>
    <s v="Mariam Iqbal"/>
    <s v="Maria"/>
    <s v="Mariam Iqbal"/>
    <s v="Iqbal"/>
    <n v="6"/>
    <n v="5000"/>
  </r>
  <r>
    <n v="1013"/>
    <s v="Omar Farooq"/>
    <x v="1"/>
    <x v="4"/>
    <x v="5"/>
    <x v="10"/>
    <n v="3"/>
    <n v="18000"/>
    <s v="omar@email.com"/>
    <x v="1"/>
    <s v="Completed"/>
    <s v="3381234567"/>
    <s v="Omar Farooq"/>
    <s v="Omar"/>
    <s v="Omar Farooq"/>
    <s v="arooq"/>
    <n v="4"/>
    <n v="54000"/>
  </r>
  <r>
    <n v="1014"/>
    <s v="Sana Tariq"/>
    <x v="1"/>
    <x v="4"/>
    <x v="6"/>
    <x v="11"/>
    <m/>
    <n v="22000"/>
    <s v="sana@email.com"/>
    <x v="1"/>
    <s v="Completed"/>
    <s v="Not Provided"/>
    <s v="Sana Tariq"/>
    <s v="Sana"/>
    <s v="Sana Tariq"/>
    <s v="Tariq"/>
    <n v="4"/>
    <n v="0"/>
  </r>
  <r>
    <n v="1015"/>
    <s v="Hassan Javed"/>
    <x v="2"/>
    <x v="0"/>
    <x v="8"/>
    <x v="12"/>
    <n v="2"/>
    <n v="32000"/>
    <s v="hassan@email.com"/>
    <x v="3"/>
    <s v="Completed"/>
    <s v="3491234567"/>
    <s v="Hassan Javed"/>
    <s v="Hassa"/>
    <s v="Hassan Javed"/>
    <s v="Javed"/>
    <n v="6"/>
    <n v="64000"/>
  </r>
  <r>
    <n v="1016"/>
    <s v="Iqra Saeed"/>
    <x v="2"/>
    <x v="1"/>
    <x v="4"/>
    <x v="13"/>
    <n v="3"/>
    <n v="7000"/>
    <s v="iqra@email.com"/>
    <x v="0"/>
    <s v="Completed"/>
    <s v="3011234567"/>
    <s v="Iqra Saeed"/>
    <s v="Iqra"/>
    <s v="Iqra Saeed"/>
    <s v="Saeed"/>
    <n v="4"/>
    <n v="21000"/>
  </r>
  <r>
    <n v="1017"/>
    <s v="Adeel Khan"/>
    <x v="0"/>
    <x v="0"/>
    <x v="7"/>
    <x v="14"/>
    <n v="8"/>
    <n v="600"/>
    <s v="adeel@email.com"/>
    <x v="0"/>
    <s v="Completed"/>
    <s v="3121234567"/>
    <s v="Adeel Khan"/>
    <s v="Adeel"/>
    <s v="Adeel Khan"/>
    <s v=" Khan"/>
    <n v="5"/>
    <n v="4800"/>
  </r>
  <r>
    <n v="1018"/>
    <s v="Fatima Noor"/>
    <x v="0"/>
    <x v="1"/>
    <x v="2"/>
    <x v="15"/>
    <n v="2"/>
    <n v="4500"/>
    <s v="fatima@email.com"/>
    <x v="1"/>
    <s v="Pending"/>
    <s v="3231234567"/>
    <s v="Fatima Noor"/>
    <s v="Fatim"/>
    <s v="Fatima Noor"/>
    <s v=" Noor"/>
    <n v="6"/>
    <n v="9000"/>
  </r>
  <r>
    <n v="1019"/>
    <s v="Saad Ahmed"/>
    <x v="1"/>
    <x v="2"/>
    <x v="3"/>
    <x v="16"/>
    <n v="1"/>
    <n v="28000"/>
    <s v="saad@email.com"/>
    <x v="2"/>
    <s v="Pending"/>
    <s v="3341234567"/>
    <s v="Saad Ahmed"/>
    <s v="Saad"/>
    <s v="Saad Ahmed"/>
    <s v="Ahmed"/>
    <n v="4"/>
    <n v="28000"/>
  </r>
  <r>
    <n v="1020"/>
    <s v="Laiba Zahid"/>
    <x v="3"/>
    <x v="4"/>
    <x v="5"/>
    <x v="17"/>
    <n v="2"/>
    <n v="18000"/>
    <s v="laiba@email.com"/>
    <x v="1"/>
    <s v="Completed"/>
    <s v="3451234567"/>
    <s v="Laiba Zahid"/>
    <s v="Laiba"/>
    <s v="Laiba Zahid"/>
    <s v="Zahid"/>
    <n v="5"/>
    <n v="36000"/>
  </r>
  <r>
    <n v="1021"/>
    <s v="Maryam Ali"/>
    <x v="2"/>
    <x v="0"/>
    <x v="0"/>
    <x v="18"/>
    <n v="1"/>
    <n v="85000"/>
    <s v="maryam@email.com"/>
    <x v="0"/>
    <s v="Completed"/>
    <s v="3061234567"/>
    <s v="Maryam Ali"/>
    <s v="Marya"/>
    <s v="Maryam Ali"/>
    <s v="m Ali"/>
    <n v="6"/>
    <n v="85000"/>
  </r>
  <r>
    <n v="1022"/>
    <s v="Ahmed Raza"/>
    <x v="2"/>
    <x v="1"/>
    <x v="1"/>
    <x v="19"/>
    <n v="6"/>
    <n v="2500"/>
    <s v="ahmed@email.com"/>
    <x v="1"/>
    <s v="Completed"/>
    <s v="3171234567"/>
    <s v="Ahmed Raza"/>
    <s v="Ahmed"/>
    <s v="Ahmed Raza"/>
    <s v=" Raza"/>
    <n v="5"/>
    <n v="15000"/>
  </r>
  <r>
    <n v="1023"/>
    <s v="Nimra Asif"/>
    <x v="4"/>
    <x v="4"/>
    <x v="6"/>
    <x v="20"/>
    <n v="1"/>
    <n v="22000"/>
    <s v="nimra@email.com"/>
    <x v="0"/>
    <s v="Completed"/>
    <s v="3281234567"/>
    <s v="Nimra Asif"/>
    <s v="Nimra"/>
    <s v="Nimra Asif"/>
    <s v=" Asif"/>
    <n v="5"/>
    <n v="22000"/>
  </r>
  <r>
    <n v="1024"/>
    <s v="Rida Khan"/>
    <x v="4"/>
    <x v="0"/>
    <x v="8"/>
    <x v="21"/>
    <n v="2"/>
    <n v="32000"/>
    <s v="rida@email.com"/>
    <x v="1"/>
    <s v="Completed"/>
    <s v="3391234567"/>
    <s v="Rida Khan"/>
    <s v="Rida"/>
    <s v="Rida Khan"/>
    <s v=" Khan"/>
    <n v="4"/>
    <n v="64000"/>
  </r>
  <r>
    <n v="1025"/>
    <s v="Daniyal Shah"/>
    <x v="0"/>
    <x v="1"/>
    <x v="7"/>
    <x v="22"/>
    <n v="10"/>
    <n v="600"/>
    <s v="daniyal@email.com"/>
    <x v="0"/>
    <s v="Completed"/>
    <s v="Not Provided"/>
    <s v="Daniyal Shah"/>
    <s v="Daniy"/>
    <s v="Daniyal Shah"/>
    <s v=" Shah"/>
    <n v="7"/>
    <n v="6000"/>
  </r>
  <r>
    <n v="1026"/>
    <s v="Areeba Noor"/>
    <x v="0"/>
    <x v="1"/>
    <x v="4"/>
    <x v="23"/>
    <n v="2"/>
    <n v="7000"/>
    <s v="areeba@email.com"/>
    <x v="1"/>
    <s v="Completed"/>
    <s v="3071234567"/>
    <s v="Areeba Noor"/>
    <s v="Areeb"/>
    <s v="Areeba Noor"/>
    <s v=" Noor"/>
    <n v="6"/>
    <n v="14000"/>
  </r>
  <r>
    <n v="1027"/>
    <s v="Bilal Shah"/>
    <x v="2"/>
    <x v="2"/>
    <x v="3"/>
    <x v="24"/>
    <n v="1"/>
    <n v="28000"/>
    <s v="bilal@email.com"/>
    <x v="2"/>
    <s v="Pending"/>
    <s v="3181234567"/>
    <s v="Bilal Shah"/>
    <s v="Bilal"/>
    <s v="Bilal Shah"/>
    <s v=" Shah"/>
    <n v="5"/>
    <n v="28000"/>
  </r>
  <r>
    <n v="1028"/>
    <s v="Hira Malik"/>
    <x v="1"/>
    <x v="4"/>
    <x v="6"/>
    <x v="25"/>
    <n v="2"/>
    <n v="22000"/>
    <s v="hira@email.com"/>
    <x v="1"/>
    <s v="Completed"/>
    <s v="3291234567"/>
    <s v="Hira Malik"/>
    <s v="Hira"/>
    <s v="Hira Malik"/>
    <s v="Malik"/>
    <n v="4"/>
    <n v="44000"/>
  </r>
  <r>
    <n v="1029"/>
    <s v="Muneeb Ali"/>
    <x v="3"/>
    <x v="0"/>
    <x v="0"/>
    <x v="26"/>
    <n v="1"/>
    <n v="85000"/>
    <s v="muneeb@email.com"/>
    <x v="0"/>
    <s v="Completed"/>
    <s v="3301234567"/>
    <s v="Muneeb Ali"/>
    <s v="Munee"/>
    <s v="Muneeb Ali"/>
    <s v="b Ali"/>
    <n v="6"/>
    <n v="85000"/>
  </r>
  <r>
    <n v="1030"/>
    <s v="Sadia Khan"/>
    <x v="3"/>
    <x v="1"/>
    <x v="2"/>
    <x v="27"/>
    <n v="4"/>
    <n v="4500"/>
    <s v="sadia@email.com"/>
    <x v="1"/>
    <s v="Completed"/>
    <s v="3401234567"/>
    <s v="Sadia Khan"/>
    <s v="Sadia"/>
    <s v="Sadia Khan"/>
    <s v=" Khan"/>
    <n v="5"/>
    <n v="18000"/>
  </r>
  <r>
    <n v="1032"/>
    <s v="Nadia Iqbal"/>
    <x v="0"/>
    <x v="1"/>
    <x v="1"/>
    <x v="28"/>
    <n v="3"/>
    <n v="2500"/>
    <s v="nadia@email.com"/>
    <x v="0"/>
    <s v="Completed"/>
    <s v="3191234567"/>
    <s v="Nadia Iqbal"/>
    <s v="Nadia"/>
    <s v="Nadia Iqbal"/>
    <s v="Iqbal"/>
    <n v="5"/>
    <n v="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09A43-B4AE-48C4-86BB-625D64A37EB0}" name="PivotTable4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9" firstHeaderRow="1" firstDataRow="1" firstDataCol="1"/>
  <pivotFields count="18">
    <pivotField numFmtId="1"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8D073-EC7D-4D22-B048-A520CABEB337}" name="PivotTable5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8">
    <pivotField numFmtId="1"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numFmtI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7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174E3-0C3B-43EB-B134-0A96AAA43CD1}" name="PivotTable6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3" firstHeaderRow="1" firstDataRow="1" firstDataCol="1"/>
  <pivotFields count="18">
    <pivotField numFmtId="1" showAll="0"/>
    <pivotField showAll="0"/>
    <pivotField showAll="0"/>
    <pivotField showAll="0"/>
    <pivotField axis="axisRow" showAll="0">
      <items count="10">
        <item x="5"/>
        <item x="6"/>
        <item x="4"/>
        <item x="2"/>
        <item x="0"/>
        <item x="8"/>
        <item x="1"/>
        <item x="3"/>
        <item x="7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7C24E-6063-4792-BFA4-7716827F15D3}" name="PivotTable7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9" firstHeaderRow="1" firstDataRow="1" firstDataCol="1"/>
  <pivotFields count="18">
    <pivotField numFmtId="1"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7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7CBBE-0DC9-43C9-B003-81BB06454CF8}" name="PivotTable8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33" firstHeaderRow="1" firstDataRow="1" firstDataCol="1"/>
  <pivotFields count="18">
    <pivotField numFmtId="1" showAll="0"/>
    <pivotField showAll="0"/>
    <pivotField showAll="0"/>
    <pivotField showAll="0"/>
    <pivotField showAll="0"/>
    <pivotField axis="axisRow" showAll="0">
      <items count="30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Total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31DAC-A794-45E2-AC77-5FFE3BA0CCCD}" name="PivotTable9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8"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</pivotFields>
  <rowItems count="1">
    <i/>
  </rowItems>
  <colItems count="1">
    <i/>
  </colItems>
  <dataFields count="1">
    <dataField name="Sum of Total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599AB-F7E6-4477-A816-9EC22EAE82D6}" name="PivotTable10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8">
    <pivotField dataField="1"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</pivotFields>
  <rowItems count="1">
    <i/>
  </rowItems>
  <colItems count="1">
    <i/>
  </colItems>
  <dataFields count="1">
    <dataField name="Count of Order_ID" fld="0" subtotal="count" baseField="0" baseItem="17646324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E9D7-7695-4217-A3EE-30EF99169312}" name="PivotTable11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8">
    <pivotField numFmtId="1" showAll="0"/>
    <pivotField showAll="0"/>
    <pivotField showAll="0"/>
    <pivotField showAll="0"/>
    <pivotField showAll="0"/>
    <pivotField showAll="0"/>
    <pivotField dataFiel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B42CF8-B6DB-4BBB-960D-7E3BBDBE5044}" name="Table2" displayName="Table2" ref="A1:R31" totalsRowShown="0" headerRowDxfId="5" dataDxfId="6">
  <autoFilter ref="A1:R31" xr:uid="{AE0861F7-2F81-4EDA-82D6-31DA12E6FFAF}"/>
  <tableColumns count="18">
    <tableColumn id="1" xr3:uid="{98558E46-948E-4998-8933-1F16F1C2A76B}" name="Order_ID" dataDxfId="23"/>
    <tableColumn id="2" xr3:uid="{07E476AD-96BD-47E0-BD87-E43F56C4B2BD}" name="Customer_Name" dataDxfId="22"/>
    <tableColumn id="3" xr3:uid="{AC8DAFA7-7FFA-4628-B302-7B379F704309}" name="City" dataDxfId="21"/>
    <tableColumn id="4" xr3:uid="{458B92FE-6408-4741-8B54-6745839D6358}" name="Category" dataDxfId="20"/>
    <tableColumn id="5" xr3:uid="{22B46206-B6E0-48CA-8786-6DD30A44AD0F}" name="Product" dataDxfId="19"/>
    <tableColumn id="6" xr3:uid="{4ADFC513-D039-45B3-A7F9-571EEDA2771D}" name="Order_Date" dataDxfId="18"/>
    <tableColumn id="7" xr3:uid="{6125CB4F-B371-47D0-A518-C6240C86C132}" name="Quantity" dataDxfId="17"/>
    <tableColumn id="8" xr3:uid="{A6D170D9-02E1-4985-99E4-C87D77DA3269}" name="Unit_Price" dataDxfId="16"/>
    <tableColumn id="9" xr3:uid="{0E1934CE-6F31-4FF8-931E-F0F5B47EB5AD}" name="Email" dataDxfId="15"/>
    <tableColumn id="10" xr3:uid="{EAF63F45-98AF-4C60-B048-378CC0EBB399}" name="Payment_Method" dataDxfId="14"/>
    <tableColumn id="11" xr3:uid="{FC132431-CDB3-43F8-934D-6765F65A448D}" name="Status" dataDxfId="13"/>
    <tableColumn id="12" xr3:uid="{7A17F8E3-6057-45C4-9D57-5BB3DC488525}" name="Customer_Phone" dataDxfId="12"/>
    <tableColumn id="13" xr3:uid="{1201BD42-451D-40F2-A53C-9A21035F93F5}" name="Customer_Name - Copy" dataDxfId="11"/>
    <tableColumn id="14" xr3:uid="{41616A17-6640-4448-A141-DC062B13811E}" name="First Characters" dataDxfId="10"/>
    <tableColumn id="15" xr3:uid="{6C2D0EB3-5904-4193-BF15-09E85055782A}" name="Customer_Name - Copy.1" dataDxfId="9"/>
    <tableColumn id="16" xr3:uid="{1BDF856B-CE40-46D9-9300-BD12E93F0D6E}" name="Last Characters" dataDxfId="8"/>
    <tableColumn id="17" xr3:uid="{15A185AB-3E43-4DA8-96D9-2A4623F60AEC}" name="Email_at" dataDxfId="7"/>
    <tableColumn id="19" xr3:uid="{1080FE7A-2DA5-4ADF-8894-C12FF6B894E6}" name="Total Sales" dataDxfId="0">
      <calculatedColumnFormula>G2*H2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pane ySplit="1" topLeftCell="A2" activePane="bottomLeft" state="frozen"/>
      <selection pane="bottomLeft" activeCell="B14" sqref="A1:L33"/>
    </sheetView>
  </sheetViews>
  <sheetFormatPr defaultRowHeight="14.5" x14ac:dyDescent="0.35"/>
  <cols>
    <col min="1" max="1" width="12" customWidth="1"/>
    <col min="2" max="2" width="15" customWidth="1"/>
    <col min="3" max="3" width="12" customWidth="1"/>
    <col min="4" max="4" width="17" customWidth="1"/>
    <col min="5" max="5" width="12" customWidth="1"/>
    <col min="6" max="6" width="13" customWidth="1"/>
    <col min="7" max="8" width="12" customWidth="1"/>
    <col min="9" max="9" width="20" customWidth="1"/>
    <col min="10" max="10" width="16" customWidth="1"/>
    <col min="11" max="11" width="12" customWidth="1"/>
    <col min="12" max="12" width="1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>
        <v>1002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>
        <v>3</v>
      </c>
      <c r="H3" t="s">
        <v>27</v>
      </c>
      <c r="I3" t="s">
        <v>28</v>
      </c>
      <c r="J3" t="s">
        <v>29</v>
      </c>
      <c r="K3" t="s">
        <v>30</v>
      </c>
    </row>
    <row r="4" spans="1:12" x14ac:dyDescent="0.35">
      <c r="A4">
        <v>1003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>
        <v>4500</v>
      </c>
      <c r="I4" t="s">
        <v>36</v>
      </c>
      <c r="J4" t="s">
        <v>37</v>
      </c>
      <c r="K4" t="s">
        <v>38</v>
      </c>
      <c r="L4" t="s">
        <v>39</v>
      </c>
    </row>
    <row r="5" spans="1:12" x14ac:dyDescent="0.35">
      <c r="A5">
        <v>1004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1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</row>
    <row r="6" spans="1:12" x14ac:dyDescent="0.35">
      <c r="A6">
        <v>1005</v>
      </c>
      <c r="B6" t="s">
        <v>50</v>
      </c>
      <c r="C6" t="s">
        <v>51</v>
      </c>
      <c r="D6" t="s">
        <v>52</v>
      </c>
      <c r="E6" t="s">
        <v>43</v>
      </c>
      <c r="F6" t="s">
        <v>53</v>
      </c>
      <c r="G6">
        <v>2</v>
      </c>
      <c r="H6">
        <v>28000</v>
      </c>
      <c r="J6" t="s">
        <v>54</v>
      </c>
      <c r="K6" t="s">
        <v>48</v>
      </c>
    </row>
    <row r="7" spans="1:12" x14ac:dyDescent="0.35">
      <c r="A7">
        <v>1006</v>
      </c>
      <c r="B7" t="s">
        <v>55</v>
      </c>
      <c r="C7" t="s">
        <v>13</v>
      </c>
      <c r="D7" t="s">
        <v>33</v>
      </c>
      <c r="E7" t="s">
        <v>56</v>
      </c>
      <c r="F7" t="s">
        <v>57</v>
      </c>
      <c r="G7">
        <v>4</v>
      </c>
      <c r="H7" t="s">
        <v>58</v>
      </c>
      <c r="I7" t="s">
        <v>59</v>
      </c>
      <c r="J7" t="s">
        <v>20</v>
      </c>
      <c r="K7" t="s">
        <v>21</v>
      </c>
      <c r="L7" t="s">
        <v>60</v>
      </c>
    </row>
    <row r="8" spans="1:12" x14ac:dyDescent="0.35">
      <c r="A8">
        <v>1007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29</v>
      </c>
      <c r="K8" t="s">
        <v>69</v>
      </c>
      <c r="L8" t="s">
        <v>70</v>
      </c>
    </row>
    <row r="9" spans="1:12" x14ac:dyDescent="0.35">
      <c r="A9">
        <v>1008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>
        <v>2</v>
      </c>
      <c r="H9">
        <v>22000</v>
      </c>
      <c r="I9" t="s">
        <v>76</v>
      </c>
      <c r="J9" t="s">
        <v>37</v>
      </c>
      <c r="K9" t="s">
        <v>21</v>
      </c>
      <c r="L9" t="s">
        <v>77</v>
      </c>
    </row>
    <row r="10" spans="1:12" x14ac:dyDescent="0.35">
      <c r="A10">
        <v>1009</v>
      </c>
      <c r="B10" t="s">
        <v>78</v>
      </c>
      <c r="C10" t="s">
        <v>79</v>
      </c>
      <c r="D10" t="s">
        <v>33</v>
      </c>
      <c r="E10" t="s">
        <v>80</v>
      </c>
      <c r="F10" t="s">
        <v>81</v>
      </c>
      <c r="G10">
        <v>5</v>
      </c>
      <c r="H10" t="s">
        <v>82</v>
      </c>
      <c r="I10" t="s">
        <v>83</v>
      </c>
      <c r="J10" t="s">
        <v>20</v>
      </c>
      <c r="K10" t="s">
        <v>30</v>
      </c>
    </row>
    <row r="11" spans="1:12" x14ac:dyDescent="0.35">
      <c r="A11">
        <v>1010</v>
      </c>
      <c r="B11" t="s">
        <v>84</v>
      </c>
      <c r="C11" t="s">
        <v>85</v>
      </c>
      <c r="D11" t="s">
        <v>14</v>
      </c>
      <c r="E11" t="s">
        <v>86</v>
      </c>
      <c r="F11" t="s">
        <v>87</v>
      </c>
      <c r="G11">
        <v>1</v>
      </c>
      <c r="H11" t="s">
        <v>88</v>
      </c>
      <c r="I11" t="s">
        <v>89</v>
      </c>
      <c r="J11" t="s">
        <v>90</v>
      </c>
      <c r="K11" t="s">
        <v>21</v>
      </c>
      <c r="L11" t="s">
        <v>91</v>
      </c>
    </row>
    <row r="12" spans="1:12" x14ac:dyDescent="0.35">
      <c r="A12">
        <v>1001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35">
      <c r="A13">
        <v>1012</v>
      </c>
      <c r="B13" t="s">
        <v>92</v>
      </c>
      <c r="C13" t="s">
        <v>13</v>
      </c>
      <c r="D13" t="s">
        <v>33</v>
      </c>
      <c r="E13" t="s">
        <v>25</v>
      </c>
      <c r="F13" t="s">
        <v>93</v>
      </c>
      <c r="G13">
        <v>2</v>
      </c>
      <c r="H13">
        <v>2500</v>
      </c>
      <c r="I13" t="s">
        <v>94</v>
      </c>
      <c r="J13" t="s">
        <v>20</v>
      </c>
      <c r="K13" t="s">
        <v>21</v>
      </c>
      <c r="L13" t="s">
        <v>95</v>
      </c>
    </row>
    <row r="14" spans="1:12" x14ac:dyDescent="0.35">
      <c r="A14">
        <v>1013</v>
      </c>
      <c r="B14" t="s">
        <v>96</v>
      </c>
      <c r="C14" t="s">
        <v>97</v>
      </c>
      <c r="D14" t="s">
        <v>73</v>
      </c>
      <c r="E14" t="s">
        <v>64</v>
      </c>
      <c r="G14">
        <v>3</v>
      </c>
      <c r="H14" t="s">
        <v>98</v>
      </c>
      <c r="I14" t="s">
        <v>99</v>
      </c>
      <c r="J14" t="s">
        <v>29</v>
      </c>
      <c r="K14" t="s">
        <v>21</v>
      </c>
      <c r="L14" t="s">
        <v>100</v>
      </c>
    </row>
    <row r="15" spans="1:12" x14ac:dyDescent="0.35">
      <c r="A15">
        <v>1014</v>
      </c>
      <c r="B15" t="s">
        <v>101</v>
      </c>
      <c r="C15" t="s">
        <v>97</v>
      </c>
      <c r="D15" t="s">
        <v>73</v>
      </c>
      <c r="E15" t="s">
        <v>74</v>
      </c>
      <c r="F15" t="s">
        <v>102</v>
      </c>
      <c r="H15" t="s">
        <v>103</v>
      </c>
      <c r="I15" t="s">
        <v>104</v>
      </c>
      <c r="J15" t="s">
        <v>29</v>
      </c>
      <c r="K15" t="s">
        <v>21</v>
      </c>
    </row>
    <row r="16" spans="1:12" x14ac:dyDescent="0.35">
      <c r="A16">
        <v>1015</v>
      </c>
      <c r="B16" t="s">
        <v>105</v>
      </c>
      <c r="C16" t="s">
        <v>106</v>
      </c>
      <c r="D16" t="s">
        <v>14</v>
      </c>
      <c r="E16" t="s">
        <v>86</v>
      </c>
      <c r="F16" t="s">
        <v>107</v>
      </c>
      <c r="G16">
        <v>2</v>
      </c>
      <c r="H16">
        <v>32000</v>
      </c>
      <c r="I16" t="s">
        <v>108</v>
      </c>
      <c r="K16" t="s">
        <v>21</v>
      </c>
      <c r="L16" t="s">
        <v>109</v>
      </c>
    </row>
    <row r="17" spans="1:12" x14ac:dyDescent="0.35">
      <c r="A17">
        <v>1016</v>
      </c>
      <c r="B17" t="s">
        <v>110</v>
      </c>
      <c r="C17" t="s">
        <v>106</v>
      </c>
      <c r="D17" t="s">
        <v>33</v>
      </c>
      <c r="E17" t="s">
        <v>56</v>
      </c>
      <c r="F17" t="s">
        <v>111</v>
      </c>
      <c r="G17" t="s">
        <v>112</v>
      </c>
      <c r="H17" t="s">
        <v>113</v>
      </c>
      <c r="I17" t="s">
        <v>114</v>
      </c>
      <c r="J17" t="s">
        <v>20</v>
      </c>
      <c r="K17" t="s">
        <v>30</v>
      </c>
      <c r="L17" t="s">
        <v>115</v>
      </c>
    </row>
    <row r="18" spans="1:12" x14ac:dyDescent="0.35">
      <c r="A18">
        <v>1017</v>
      </c>
      <c r="B18" t="s">
        <v>116</v>
      </c>
      <c r="C18" t="s">
        <v>13</v>
      </c>
      <c r="D18" t="s">
        <v>14</v>
      </c>
      <c r="E18" t="s">
        <v>80</v>
      </c>
      <c r="F18" t="s">
        <v>117</v>
      </c>
      <c r="G18">
        <v>8</v>
      </c>
      <c r="H18">
        <v>600</v>
      </c>
      <c r="I18" t="s">
        <v>118</v>
      </c>
      <c r="J18" t="s">
        <v>20</v>
      </c>
      <c r="K18" t="s">
        <v>21</v>
      </c>
      <c r="L18" t="s">
        <v>119</v>
      </c>
    </row>
    <row r="19" spans="1:12" x14ac:dyDescent="0.35">
      <c r="A19">
        <v>1018</v>
      </c>
      <c r="B19" t="s">
        <v>120</v>
      </c>
      <c r="C19" t="s">
        <v>13</v>
      </c>
      <c r="D19" t="s">
        <v>33</v>
      </c>
      <c r="E19" t="s">
        <v>121</v>
      </c>
      <c r="F19" t="s">
        <v>122</v>
      </c>
      <c r="G19">
        <v>2</v>
      </c>
      <c r="H19" t="s">
        <v>123</v>
      </c>
      <c r="I19" t="s">
        <v>124</v>
      </c>
      <c r="J19" t="s">
        <v>29</v>
      </c>
      <c r="K19" t="s">
        <v>48</v>
      </c>
      <c r="L19" t="s">
        <v>125</v>
      </c>
    </row>
    <row r="20" spans="1:12" x14ac:dyDescent="0.35">
      <c r="A20">
        <v>1019</v>
      </c>
      <c r="B20" t="s">
        <v>126</v>
      </c>
      <c r="C20" t="s">
        <v>127</v>
      </c>
      <c r="D20" t="s">
        <v>42</v>
      </c>
      <c r="E20" t="s">
        <v>43</v>
      </c>
      <c r="F20" t="s">
        <v>128</v>
      </c>
      <c r="G20">
        <v>1</v>
      </c>
      <c r="H20">
        <v>28000</v>
      </c>
      <c r="I20" t="s">
        <v>129</v>
      </c>
      <c r="J20" t="s">
        <v>47</v>
      </c>
      <c r="K20" t="s">
        <v>48</v>
      </c>
      <c r="L20" t="s">
        <v>130</v>
      </c>
    </row>
    <row r="21" spans="1:12" x14ac:dyDescent="0.35">
      <c r="A21">
        <v>1020</v>
      </c>
      <c r="B21" t="s">
        <v>131</v>
      </c>
      <c r="C21" t="s">
        <v>62</v>
      </c>
      <c r="D21" t="s">
        <v>73</v>
      </c>
      <c r="E21" t="s">
        <v>64</v>
      </c>
      <c r="F21" t="s">
        <v>132</v>
      </c>
      <c r="G21">
        <v>2</v>
      </c>
      <c r="H21" t="s">
        <v>98</v>
      </c>
      <c r="I21" t="s">
        <v>133</v>
      </c>
      <c r="J21" t="s">
        <v>29</v>
      </c>
      <c r="K21" t="s">
        <v>21</v>
      </c>
      <c r="L21" t="s">
        <v>134</v>
      </c>
    </row>
    <row r="22" spans="1:12" x14ac:dyDescent="0.35">
      <c r="A22">
        <v>1021</v>
      </c>
      <c r="B22" t="s">
        <v>135</v>
      </c>
      <c r="C22" t="s">
        <v>106</v>
      </c>
      <c r="D22" t="s">
        <v>14</v>
      </c>
      <c r="E22" t="s">
        <v>15</v>
      </c>
      <c r="F22" t="s">
        <v>136</v>
      </c>
      <c r="G22">
        <v>1</v>
      </c>
      <c r="H22" t="s">
        <v>18</v>
      </c>
      <c r="I22" t="s">
        <v>137</v>
      </c>
      <c r="J22" t="s">
        <v>20</v>
      </c>
      <c r="K22" t="s">
        <v>21</v>
      </c>
      <c r="L22" t="s">
        <v>138</v>
      </c>
    </row>
    <row r="23" spans="1:12" x14ac:dyDescent="0.35">
      <c r="A23">
        <v>1022</v>
      </c>
      <c r="B23" t="s">
        <v>139</v>
      </c>
      <c r="C23" t="s">
        <v>106</v>
      </c>
      <c r="D23" t="s">
        <v>33</v>
      </c>
      <c r="E23" t="s">
        <v>25</v>
      </c>
      <c r="F23" t="s">
        <v>140</v>
      </c>
      <c r="G23">
        <v>6</v>
      </c>
      <c r="H23">
        <v>2500</v>
      </c>
      <c r="I23" t="s">
        <v>141</v>
      </c>
      <c r="J23" t="s">
        <v>37</v>
      </c>
      <c r="K23" t="s">
        <v>21</v>
      </c>
      <c r="L23" t="s">
        <v>142</v>
      </c>
    </row>
    <row r="24" spans="1:12" x14ac:dyDescent="0.35">
      <c r="A24">
        <v>1023</v>
      </c>
      <c r="B24" t="s">
        <v>143</v>
      </c>
      <c r="C24" t="s">
        <v>85</v>
      </c>
      <c r="D24" t="s">
        <v>73</v>
      </c>
      <c r="E24" t="s">
        <v>74</v>
      </c>
      <c r="F24" t="s">
        <v>144</v>
      </c>
      <c r="G24">
        <v>1</v>
      </c>
      <c r="H24" t="s">
        <v>145</v>
      </c>
      <c r="I24" t="s">
        <v>146</v>
      </c>
      <c r="J24" t="s">
        <v>20</v>
      </c>
      <c r="K24" t="s">
        <v>21</v>
      </c>
      <c r="L24" t="s">
        <v>147</v>
      </c>
    </row>
    <row r="25" spans="1:12" x14ac:dyDescent="0.35">
      <c r="A25">
        <v>1024</v>
      </c>
      <c r="B25" t="s">
        <v>148</v>
      </c>
      <c r="C25" t="s">
        <v>85</v>
      </c>
      <c r="D25" t="s">
        <v>14</v>
      </c>
      <c r="E25" t="s">
        <v>86</v>
      </c>
      <c r="F25" t="s">
        <v>149</v>
      </c>
      <c r="G25">
        <v>2</v>
      </c>
      <c r="H25">
        <v>32000</v>
      </c>
      <c r="I25" t="s">
        <v>150</v>
      </c>
      <c r="J25" t="s">
        <v>29</v>
      </c>
      <c r="K25" t="s">
        <v>21</v>
      </c>
      <c r="L25" t="s">
        <v>151</v>
      </c>
    </row>
    <row r="26" spans="1:12" x14ac:dyDescent="0.35">
      <c r="A26">
        <v>1025</v>
      </c>
      <c r="B26" t="s">
        <v>152</v>
      </c>
      <c r="C26" t="s">
        <v>13</v>
      </c>
      <c r="D26" t="s">
        <v>33</v>
      </c>
      <c r="E26" t="s">
        <v>80</v>
      </c>
      <c r="F26" t="s">
        <v>153</v>
      </c>
      <c r="G26">
        <v>10</v>
      </c>
      <c r="H26" t="s">
        <v>82</v>
      </c>
      <c r="I26" t="s">
        <v>154</v>
      </c>
      <c r="J26" t="s">
        <v>20</v>
      </c>
      <c r="K26" t="s">
        <v>21</v>
      </c>
    </row>
    <row r="27" spans="1:12" x14ac:dyDescent="0.35">
      <c r="A27">
        <v>1026</v>
      </c>
      <c r="B27" t="s">
        <v>155</v>
      </c>
      <c r="C27" t="s">
        <v>13</v>
      </c>
      <c r="D27" t="s">
        <v>33</v>
      </c>
      <c r="E27" t="s">
        <v>56</v>
      </c>
      <c r="F27" t="s">
        <v>156</v>
      </c>
      <c r="G27">
        <v>2</v>
      </c>
      <c r="H27">
        <v>7000</v>
      </c>
      <c r="I27" t="s">
        <v>157</v>
      </c>
      <c r="J27" t="s">
        <v>29</v>
      </c>
      <c r="K27" t="s">
        <v>21</v>
      </c>
      <c r="L27" t="s">
        <v>158</v>
      </c>
    </row>
    <row r="28" spans="1:12" x14ac:dyDescent="0.35">
      <c r="A28">
        <v>1027</v>
      </c>
      <c r="B28" t="s">
        <v>50</v>
      </c>
      <c r="C28" t="s">
        <v>106</v>
      </c>
      <c r="D28" t="s">
        <v>42</v>
      </c>
      <c r="E28" t="s">
        <v>43</v>
      </c>
      <c r="F28" t="s">
        <v>159</v>
      </c>
      <c r="G28">
        <v>1</v>
      </c>
      <c r="H28">
        <v>28000</v>
      </c>
      <c r="I28" t="s">
        <v>160</v>
      </c>
      <c r="J28" t="s">
        <v>47</v>
      </c>
      <c r="K28" t="s">
        <v>48</v>
      </c>
      <c r="L28" t="s">
        <v>161</v>
      </c>
    </row>
    <row r="29" spans="1:12" x14ac:dyDescent="0.35">
      <c r="A29">
        <v>1028</v>
      </c>
      <c r="B29" t="s">
        <v>162</v>
      </c>
      <c r="C29" t="s">
        <v>97</v>
      </c>
      <c r="D29" t="s">
        <v>73</v>
      </c>
      <c r="E29" t="s">
        <v>163</v>
      </c>
      <c r="F29" t="s">
        <v>164</v>
      </c>
      <c r="G29">
        <v>2</v>
      </c>
      <c r="H29" t="s">
        <v>103</v>
      </c>
      <c r="I29" t="s">
        <v>165</v>
      </c>
      <c r="J29" t="s">
        <v>90</v>
      </c>
      <c r="K29" t="s">
        <v>21</v>
      </c>
      <c r="L29" t="s">
        <v>166</v>
      </c>
    </row>
    <row r="30" spans="1:12" x14ac:dyDescent="0.35">
      <c r="A30">
        <v>1029</v>
      </c>
      <c r="B30" t="s">
        <v>167</v>
      </c>
      <c r="C30" t="s">
        <v>62</v>
      </c>
      <c r="D30" t="s">
        <v>14</v>
      </c>
      <c r="E30" t="s">
        <v>15</v>
      </c>
      <c r="F30" t="s">
        <v>168</v>
      </c>
      <c r="G30">
        <v>1</v>
      </c>
      <c r="H30">
        <v>85000</v>
      </c>
      <c r="I30" t="s">
        <v>169</v>
      </c>
      <c r="J30" t="s">
        <v>20</v>
      </c>
      <c r="K30" t="s">
        <v>21</v>
      </c>
      <c r="L30" t="s">
        <v>170</v>
      </c>
    </row>
    <row r="31" spans="1:12" x14ac:dyDescent="0.35">
      <c r="A31">
        <v>1030</v>
      </c>
      <c r="B31" t="s">
        <v>171</v>
      </c>
      <c r="C31" t="s">
        <v>62</v>
      </c>
      <c r="D31" t="s">
        <v>33</v>
      </c>
      <c r="E31" t="s">
        <v>121</v>
      </c>
      <c r="F31" t="s">
        <v>172</v>
      </c>
      <c r="G31">
        <v>4</v>
      </c>
      <c r="H31" t="s">
        <v>173</v>
      </c>
      <c r="I31" t="s">
        <v>174</v>
      </c>
      <c r="J31" t="s">
        <v>29</v>
      </c>
      <c r="K31" t="s">
        <v>21</v>
      </c>
      <c r="L31" t="s">
        <v>175</v>
      </c>
    </row>
    <row r="32" spans="1:12" x14ac:dyDescent="0.35">
      <c r="A32">
        <v>1001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</row>
    <row r="33" spans="1:12" x14ac:dyDescent="0.35">
      <c r="A33">
        <v>1032</v>
      </c>
      <c r="B33" t="s">
        <v>176</v>
      </c>
      <c r="C33" t="s">
        <v>177</v>
      </c>
      <c r="D33" t="s">
        <v>178</v>
      </c>
      <c r="E33" t="s">
        <v>25</v>
      </c>
      <c r="F33" t="s">
        <v>179</v>
      </c>
      <c r="G33">
        <v>3</v>
      </c>
      <c r="H33" t="s">
        <v>180</v>
      </c>
      <c r="I33" t="s">
        <v>181</v>
      </c>
      <c r="J33" t="s">
        <v>182</v>
      </c>
      <c r="K33" t="s">
        <v>30</v>
      </c>
      <c r="L33" t="s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66FB-944A-481A-9E60-25BB228A8FAE}">
  <dimension ref="A3:B9"/>
  <sheetViews>
    <sheetView workbookViewId="0">
      <selection activeCell="B15" sqref="B15"/>
    </sheetView>
  </sheetViews>
  <sheetFormatPr defaultRowHeight="14.5" x14ac:dyDescent="0.35"/>
  <cols>
    <col min="1" max="1" width="13.1796875" bestFit="1" customWidth="1"/>
    <col min="2" max="2" width="16.08984375" bestFit="1" customWidth="1"/>
  </cols>
  <sheetData>
    <row r="3" spans="1:2" x14ac:dyDescent="0.35">
      <c r="A3" s="7" t="s">
        <v>270</v>
      </c>
      <c r="B3" t="s">
        <v>269</v>
      </c>
    </row>
    <row r="4" spans="1:2" x14ac:dyDescent="0.35">
      <c r="A4" s="8" t="s">
        <v>33</v>
      </c>
      <c r="B4" s="6">
        <v>135500</v>
      </c>
    </row>
    <row r="5" spans="1:2" x14ac:dyDescent="0.35">
      <c r="A5" s="8" t="s">
        <v>14</v>
      </c>
      <c r="B5" s="6">
        <v>512300</v>
      </c>
    </row>
    <row r="6" spans="1:2" x14ac:dyDescent="0.35">
      <c r="A6" s="8" t="s">
        <v>73</v>
      </c>
      <c r="B6" s="6">
        <v>218000</v>
      </c>
    </row>
    <row r="7" spans="1:2" x14ac:dyDescent="0.35">
      <c r="A7" s="8" t="s">
        <v>42</v>
      </c>
      <c r="B7" s="6">
        <v>84000</v>
      </c>
    </row>
    <row r="8" spans="1:2" x14ac:dyDescent="0.35">
      <c r="A8" s="8" t="s">
        <v>52</v>
      </c>
      <c r="B8" s="6">
        <v>56000</v>
      </c>
    </row>
    <row r="9" spans="1:2" x14ac:dyDescent="0.35">
      <c r="A9" s="8" t="s">
        <v>271</v>
      </c>
      <c r="B9" s="6">
        <v>1005800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6024-172E-4074-A737-272C923ED131}">
  <dimension ref="A3:B8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7" t="s">
        <v>270</v>
      </c>
      <c r="B3" t="s">
        <v>269</v>
      </c>
    </row>
    <row r="4" spans="1:2" x14ac:dyDescent="0.35">
      <c r="A4" s="8" t="s">
        <v>47</v>
      </c>
      <c r="B4" s="6">
        <v>140000</v>
      </c>
    </row>
    <row r="5" spans="1:2" x14ac:dyDescent="0.35">
      <c r="A5" s="8" t="s">
        <v>29</v>
      </c>
      <c r="B5" s="6">
        <v>364500</v>
      </c>
    </row>
    <row r="6" spans="1:2" x14ac:dyDescent="0.35">
      <c r="A6" s="8" t="s">
        <v>20</v>
      </c>
      <c r="B6" s="6">
        <v>437300</v>
      </c>
    </row>
    <row r="7" spans="1:2" x14ac:dyDescent="0.35">
      <c r="A7" s="8" t="s">
        <v>191</v>
      </c>
      <c r="B7" s="6">
        <v>64000</v>
      </c>
    </row>
    <row r="8" spans="1:2" x14ac:dyDescent="0.35">
      <c r="A8" s="8" t="s">
        <v>271</v>
      </c>
      <c r="B8" s="6">
        <v>1005800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D758-19F6-4A32-8664-149B079E7812}">
  <dimension ref="A3:B13"/>
  <sheetViews>
    <sheetView workbookViewId="0">
      <selection activeCell="E19" sqref="E19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7" t="s">
        <v>270</v>
      </c>
      <c r="B3" t="s">
        <v>269</v>
      </c>
    </row>
    <row r="4" spans="1:2" x14ac:dyDescent="0.35">
      <c r="A4" s="8" t="s">
        <v>64</v>
      </c>
      <c r="B4" s="6">
        <v>108000</v>
      </c>
    </row>
    <row r="5" spans="1:2" x14ac:dyDescent="0.35">
      <c r="A5" s="8" t="s">
        <v>74</v>
      </c>
      <c r="B5" s="6">
        <v>110000</v>
      </c>
    </row>
    <row r="6" spans="1:2" x14ac:dyDescent="0.35">
      <c r="A6" s="8" t="s">
        <v>56</v>
      </c>
      <c r="B6" s="6">
        <v>63000</v>
      </c>
    </row>
    <row r="7" spans="1:2" x14ac:dyDescent="0.35">
      <c r="A7" s="8" t="s">
        <v>121</v>
      </c>
      <c r="B7" s="6">
        <v>36000</v>
      </c>
    </row>
    <row r="8" spans="1:2" x14ac:dyDescent="0.35">
      <c r="A8" s="8" t="s">
        <v>15</v>
      </c>
      <c r="B8" s="6">
        <v>340000</v>
      </c>
    </row>
    <row r="9" spans="1:2" x14ac:dyDescent="0.35">
      <c r="A9" s="8" t="s">
        <v>86</v>
      </c>
      <c r="B9" s="6">
        <v>160000</v>
      </c>
    </row>
    <row r="10" spans="1:2" x14ac:dyDescent="0.35">
      <c r="A10" s="8" t="s">
        <v>25</v>
      </c>
      <c r="B10" s="6">
        <v>35000</v>
      </c>
    </row>
    <row r="11" spans="1:2" x14ac:dyDescent="0.35">
      <c r="A11" s="8" t="s">
        <v>43</v>
      </c>
      <c r="B11" s="6">
        <v>140000</v>
      </c>
    </row>
    <row r="12" spans="1:2" x14ac:dyDescent="0.35">
      <c r="A12" s="8" t="s">
        <v>80</v>
      </c>
      <c r="B12" s="6">
        <v>13800</v>
      </c>
    </row>
    <row r="13" spans="1:2" x14ac:dyDescent="0.35">
      <c r="A13" s="8" t="s">
        <v>271</v>
      </c>
      <c r="B13" s="6">
        <v>1005800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8DA-C48A-4C6B-A73E-812972E630F7}">
  <dimension ref="A3:B9"/>
  <sheetViews>
    <sheetView workbookViewId="0">
      <selection activeCell="H19" sqref="H19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7" t="s">
        <v>270</v>
      </c>
      <c r="B3" t="s">
        <v>269</v>
      </c>
    </row>
    <row r="4" spans="1:2" x14ac:dyDescent="0.35">
      <c r="A4" s="8" t="s">
        <v>97</v>
      </c>
      <c r="B4" s="6">
        <v>135000</v>
      </c>
    </row>
    <row r="5" spans="1:2" x14ac:dyDescent="0.35">
      <c r="A5" s="8" t="s">
        <v>106</v>
      </c>
      <c r="B5" s="6">
        <v>297000</v>
      </c>
    </row>
    <row r="6" spans="1:2" x14ac:dyDescent="0.35">
      <c r="A6" s="8" t="s">
        <v>13</v>
      </c>
      <c r="B6" s="6">
        <v>251800</v>
      </c>
    </row>
    <row r="7" spans="1:2" x14ac:dyDescent="0.35">
      <c r="A7" s="8" t="s">
        <v>85</v>
      </c>
      <c r="B7" s="6">
        <v>121000</v>
      </c>
    </row>
    <row r="8" spans="1:2" x14ac:dyDescent="0.35">
      <c r="A8" s="8" t="s">
        <v>62</v>
      </c>
      <c r="B8" s="6">
        <v>201000</v>
      </c>
    </row>
    <row r="9" spans="1:2" x14ac:dyDescent="0.35">
      <c r="A9" s="8" t="s">
        <v>271</v>
      </c>
      <c r="B9" s="6">
        <v>1005800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F9F8-98EA-4C79-A529-3C3ACBAD07E6}">
  <dimension ref="A3:B33"/>
  <sheetViews>
    <sheetView workbookViewId="0">
      <selection activeCell="G21" sqref="G21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7" t="s">
        <v>270</v>
      </c>
      <c r="B3" t="s">
        <v>269</v>
      </c>
    </row>
    <row r="4" spans="1:2" x14ac:dyDescent="0.35">
      <c r="A4" s="8"/>
      <c r="B4" s="6">
        <v>54000</v>
      </c>
    </row>
    <row r="5" spans="1:2" x14ac:dyDescent="0.35">
      <c r="A5" s="9">
        <v>46027</v>
      </c>
      <c r="B5" s="6">
        <v>177500</v>
      </c>
    </row>
    <row r="6" spans="1:2" x14ac:dyDescent="0.35">
      <c r="A6" s="9">
        <v>46029</v>
      </c>
      <c r="B6" s="6">
        <v>9000</v>
      </c>
    </row>
    <row r="7" spans="1:2" x14ac:dyDescent="0.35">
      <c r="A7" s="9">
        <v>46030</v>
      </c>
      <c r="B7" s="6">
        <v>28000</v>
      </c>
    </row>
    <row r="8" spans="1:2" x14ac:dyDescent="0.35">
      <c r="A8" s="9">
        <v>46031</v>
      </c>
      <c r="B8" s="6">
        <v>56000</v>
      </c>
    </row>
    <row r="9" spans="1:2" x14ac:dyDescent="0.35">
      <c r="A9" s="9">
        <v>46032</v>
      </c>
      <c r="B9" s="6">
        <v>28000</v>
      </c>
    </row>
    <row r="10" spans="1:2" x14ac:dyDescent="0.35">
      <c r="A10" s="9">
        <v>46033</v>
      </c>
      <c r="B10" s="6">
        <v>18000</v>
      </c>
    </row>
    <row r="11" spans="1:2" x14ac:dyDescent="0.35">
      <c r="A11" s="9">
        <v>46034</v>
      </c>
      <c r="B11" s="6">
        <v>44000</v>
      </c>
    </row>
    <row r="12" spans="1:2" x14ac:dyDescent="0.35">
      <c r="A12" s="9">
        <v>46035</v>
      </c>
      <c r="B12" s="6">
        <v>3000</v>
      </c>
    </row>
    <row r="13" spans="1:2" x14ac:dyDescent="0.35">
      <c r="A13" s="9">
        <v>46036</v>
      </c>
      <c r="B13" s="6">
        <v>32000</v>
      </c>
    </row>
    <row r="14" spans="1:2" x14ac:dyDescent="0.35">
      <c r="A14" s="9">
        <v>46038</v>
      </c>
      <c r="B14" s="6">
        <v>5000</v>
      </c>
    </row>
    <row r="15" spans="1:2" x14ac:dyDescent="0.35">
      <c r="A15" s="9">
        <v>46041</v>
      </c>
      <c r="B15" s="6">
        <v>0</v>
      </c>
    </row>
    <row r="16" spans="1:2" x14ac:dyDescent="0.35">
      <c r="A16" s="9">
        <v>46042</v>
      </c>
      <c r="B16" s="6">
        <v>64000</v>
      </c>
    </row>
    <row r="17" spans="1:2" x14ac:dyDescent="0.35">
      <c r="A17" s="9">
        <v>46043</v>
      </c>
      <c r="B17" s="6">
        <v>21000</v>
      </c>
    </row>
    <row r="18" spans="1:2" x14ac:dyDescent="0.35">
      <c r="A18" s="9">
        <v>46044</v>
      </c>
      <c r="B18" s="6">
        <v>4800</v>
      </c>
    </row>
    <row r="19" spans="1:2" x14ac:dyDescent="0.35">
      <c r="A19" s="9">
        <v>46045</v>
      </c>
      <c r="B19" s="6">
        <v>9000</v>
      </c>
    </row>
    <row r="20" spans="1:2" x14ac:dyDescent="0.35">
      <c r="A20" s="9">
        <v>46046</v>
      </c>
      <c r="B20" s="6">
        <v>28000</v>
      </c>
    </row>
    <row r="21" spans="1:2" x14ac:dyDescent="0.35">
      <c r="A21" s="9">
        <v>46047</v>
      </c>
      <c r="B21" s="6">
        <v>36000</v>
      </c>
    </row>
    <row r="22" spans="1:2" x14ac:dyDescent="0.35">
      <c r="A22" s="9">
        <v>46048</v>
      </c>
      <c r="B22" s="6">
        <v>85000</v>
      </c>
    </row>
    <row r="23" spans="1:2" x14ac:dyDescent="0.35">
      <c r="A23" s="9">
        <v>46049</v>
      </c>
      <c r="B23" s="6">
        <v>15000</v>
      </c>
    </row>
    <row r="24" spans="1:2" x14ac:dyDescent="0.35">
      <c r="A24" s="9">
        <v>46050</v>
      </c>
      <c r="B24" s="6">
        <v>22000</v>
      </c>
    </row>
    <row r="25" spans="1:2" x14ac:dyDescent="0.35">
      <c r="A25" s="9">
        <v>46051</v>
      </c>
      <c r="B25" s="6">
        <v>64000</v>
      </c>
    </row>
    <row r="26" spans="1:2" x14ac:dyDescent="0.35">
      <c r="A26" s="9">
        <v>46052</v>
      </c>
      <c r="B26" s="6">
        <v>6000</v>
      </c>
    </row>
    <row r="27" spans="1:2" x14ac:dyDescent="0.35">
      <c r="A27" s="9">
        <v>46053</v>
      </c>
      <c r="B27" s="6">
        <v>14000</v>
      </c>
    </row>
    <row r="28" spans="1:2" x14ac:dyDescent="0.35">
      <c r="A28" s="9">
        <v>46054</v>
      </c>
      <c r="B28" s="6">
        <v>28000</v>
      </c>
    </row>
    <row r="29" spans="1:2" x14ac:dyDescent="0.35">
      <c r="A29" s="9">
        <v>46055</v>
      </c>
      <c r="B29" s="6">
        <v>44000</v>
      </c>
    </row>
    <row r="30" spans="1:2" x14ac:dyDescent="0.35">
      <c r="A30" s="9">
        <v>46056</v>
      </c>
      <c r="B30" s="6">
        <v>85000</v>
      </c>
    </row>
    <row r="31" spans="1:2" x14ac:dyDescent="0.35">
      <c r="A31" s="9">
        <v>46057</v>
      </c>
      <c r="B31" s="6">
        <v>18000</v>
      </c>
    </row>
    <row r="32" spans="1:2" x14ac:dyDescent="0.35">
      <c r="A32" s="9">
        <v>46058</v>
      </c>
      <c r="B32" s="6">
        <v>7500</v>
      </c>
    </row>
    <row r="33" spans="1:2" x14ac:dyDescent="0.35">
      <c r="A33" s="8" t="s">
        <v>271</v>
      </c>
      <c r="B33" s="6">
        <v>1005800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FB17-9030-48E5-ABD2-9508C948E337}">
  <dimension ref="A3:A4"/>
  <sheetViews>
    <sheetView workbookViewId="0">
      <selection activeCell="A4" sqref="A4"/>
    </sheetView>
  </sheetViews>
  <sheetFormatPr defaultRowHeight="14.5" x14ac:dyDescent="0.35"/>
  <cols>
    <col min="1" max="1" width="16.08984375" bestFit="1" customWidth="1"/>
  </cols>
  <sheetData>
    <row r="3" spans="1:1" x14ac:dyDescent="0.35">
      <c r="A3" t="s">
        <v>269</v>
      </c>
    </row>
    <row r="4" spans="1:1" x14ac:dyDescent="0.35">
      <c r="A4" s="6">
        <v>1005800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614D-2C8E-4973-B2DC-BF50092117C4}">
  <dimension ref="A3:A4"/>
  <sheetViews>
    <sheetView workbookViewId="0">
      <selection activeCell="G15" sqref="G15"/>
    </sheetView>
  </sheetViews>
  <sheetFormatPr defaultRowHeight="14.5" x14ac:dyDescent="0.35"/>
  <cols>
    <col min="1" max="1" width="16.36328125" bestFit="1" customWidth="1"/>
  </cols>
  <sheetData>
    <row r="3" spans="1:1" x14ac:dyDescent="0.35">
      <c r="A3" t="s">
        <v>272</v>
      </c>
    </row>
    <row r="4" spans="1:1" x14ac:dyDescent="0.35">
      <c r="A4" s="6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F3F9-F288-4B8E-9B8C-E9C5776CC809}">
  <dimension ref="A3:A4"/>
  <sheetViews>
    <sheetView workbookViewId="0">
      <selection activeCell="E8" sqref="E8"/>
    </sheetView>
  </sheetViews>
  <sheetFormatPr defaultRowHeight="14.5" x14ac:dyDescent="0.35"/>
  <cols>
    <col min="1" max="1" width="14.54296875" bestFit="1" customWidth="1"/>
  </cols>
  <sheetData>
    <row r="3" spans="1:1" x14ac:dyDescent="0.35">
      <c r="A3" t="s">
        <v>273</v>
      </c>
    </row>
    <row r="4" spans="1:1" x14ac:dyDescent="0.35">
      <c r="A4" s="6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BE85-0174-448E-A506-31B7DE8938E8}">
  <dimension ref="A1:R31"/>
  <sheetViews>
    <sheetView tabSelected="1" topLeftCell="H2" workbookViewId="0">
      <selection activeCell="J16" sqref="J16"/>
    </sheetView>
  </sheetViews>
  <sheetFormatPr defaultRowHeight="14.5" x14ac:dyDescent="0.35"/>
  <cols>
    <col min="1" max="1" width="10.54296875" customWidth="1"/>
    <col min="2" max="2" width="16.90625" customWidth="1"/>
    <col min="4" max="4" width="10.26953125" customWidth="1"/>
    <col min="5" max="5" width="9.453125" customWidth="1"/>
    <col min="6" max="6" width="13" bestFit="1" customWidth="1"/>
    <col min="7" max="7" width="10.1796875" customWidth="1"/>
    <col min="8" max="8" width="11.453125" customWidth="1"/>
    <col min="10" max="10" width="18" customWidth="1"/>
    <col min="11" max="11" width="9.90625" bestFit="1" customWidth="1"/>
    <col min="12" max="12" width="17.36328125" customWidth="1"/>
    <col min="13" max="13" width="22.6328125" customWidth="1"/>
    <col min="14" max="14" width="15.90625" customWidth="1"/>
    <col min="15" max="15" width="24.1796875" customWidth="1"/>
    <col min="16" max="16" width="15.6328125" customWidth="1"/>
    <col min="17" max="17" width="10.08984375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  <c r="R1" s="5" t="s">
        <v>268</v>
      </c>
    </row>
    <row r="2" spans="1:18" x14ac:dyDescent="0.35">
      <c r="A2" s="3">
        <v>1001</v>
      </c>
      <c r="B2" s="2" t="s">
        <v>184</v>
      </c>
      <c r="C2" s="2" t="s">
        <v>13</v>
      </c>
      <c r="D2" s="2" t="s">
        <v>14</v>
      </c>
      <c r="E2" s="2" t="s">
        <v>15</v>
      </c>
      <c r="F2" s="4">
        <v>46027</v>
      </c>
      <c r="G2" s="3">
        <v>2</v>
      </c>
      <c r="H2" s="3">
        <v>85000</v>
      </c>
      <c r="I2" s="2" t="s">
        <v>19</v>
      </c>
      <c r="J2" s="2" t="s">
        <v>20</v>
      </c>
      <c r="K2" s="2" t="s">
        <v>21</v>
      </c>
      <c r="L2" s="2" t="s">
        <v>197</v>
      </c>
      <c r="M2" s="2" t="s">
        <v>184</v>
      </c>
      <c r="N2" s="2" t="s">
        <v>198</v>
      </c>
      <c r="O2" s="2" t="s">
        <v>184</v>
      </c>
      <c r="P2" s="2" t="s">
        <v>199</v>
      </c>
      <c r="Q2" s="3">
        <v>8</v>
      </c>
      <c r="R2" s="5">
        <f t="shared" ref="R2:R31" si="0">G2*H2</f>
        <v>170000</v>
      </c>
    </row>
    <row r="3" spans="1:18" x14ac:dyDescent="0.35">
      <c r="A3" s="3">
        <v>1002</v>
      </c>
      <c r="B3" s="2" t="s">
        <v>23</v>
      </c>
      <c r="C3" s="2" t="s">
        <v>13</v>
      </c>
      <c r="D3" s="2" t="s">
        <v>14</v>
      </c>
      <c r="E3" s="2" t="s">
        <v>25</v>
      </c>
      <c r="F3" s="4">
        <v>46027</v>
      </c>
      <c r="G3" s="3">
        <v>3</v>
      </c>
      <c r="H3" s="3">
        <v>2500</v>
      </c>
      <c r="I3" s="2" t="s">
        <v>28</v>
      </c>
      <c r="J3" s="2" t="s">
        <v>29</v>
      </c>
      <c r="K3" s="2" t="s">
        <v>21</v>
      </c>
      <c r="L3" s="2" t="s">
        <v>191</v>
      </c>
      <c r="M3" s="2" t="s">
        <v>23</v>
      </c>
      <c r="N3" s="2" t="s">
        <v>200</v>
      </c>
      <c r="O3" s="2" t="s">
        <v>23</v>
      </c>
      <c r="P3" s="2" t="s">
        <v>201</v>
      </c>
      <c r="Q3" s="3">
        <v>4</v>
      </c>
      <c r="R3" s="5">
        <f t="shared" si="0"/>
        <v>7500</v>
      </c>
    </row>
    <row r="4" spans="1:18" x14ac:dyDescent="0.35">
      <c r="A4" s="3">
        <v>1003</v>
      </c>
      <c r="B4" s="2" t="s">
        <v>186</v>
      </c>
      <c r="C4" s="2" t="s">
        <v>97</v>
      </c>
      <c r="D4" s="2" t="s">
        <v>33</v>
      </c>
      <c r="E4" s="2" t="s">
        <v>121</v>
      </c>
      <c r="F4" s="4">
        <v>46029</v>
      </c>
      <c r="G4" s="3">
        <v>2</v>
      </c>
      <c r="H4" s="3">
        <v>4500</v>
      </c>
      <c r="I4" s="2" t="s">
        <v>187</v>
      </c>
      <c r="J4" s="2" t="s">
        <v>29</v>
      </c>
      <c r="K4" s="2" t="s">
        <v>21</v>
      </c>
      <c r="L4" s="2" t="s">
        <v>202</v>
      </c>
      <c r="M4" s="2" t="s">
        <v>186</v>
      </c>
      <c r="N4" s="2" t="s">
        <v>203</v>
      </c>
      <c r="O4" s="2" t="s">
        <v>186</v>
      </c>
      <c r="P4" s="2" t="s">
        <v>204</v>
      </c>
      <c r="Q4" s="3">
        <v>5</v>
      </c>
      <c r="R4" s="5">
        <f t="shared" si="0"/>
        <v>9000</v>
      </c>
    </row>
    <row r="5" spans="1:18" x14ac:dyDescent="0.35">
      <c r="A5" s="3">
        <v>1004</v>
      </c>
      <c r="B5" s="2" t="s">
        <v>40</v>
      </c>
      <c r="C5" s="2" t="s">
        <v>106</v>
      </c>
      <c r="D5" s="2" t="s">
        <v>42</v>
      </c>
      <c r="E5" s="2" t="s">
        <v>43</v>
      </c>
      <c r="F5" s="4">
        <v>46030</v>
      </c>
      <c r="G5" s="3">
        <v>1</v>
      </c>
      <c r="H5" s="3">
        <v>28000</v>
      </c>
      <c r="I5" s="2" t="s">
        <v>46</v>
      </c>
      <c r="J5" s="2" t="s">
        <v>47</v>
      </c>
      <c r="K5" s="2" t="s">
        <v>48</v>
      </c>
      <c r="L5" s="2" t="s">
        <v>205</v>
      </c>
      <c r="M5" s="2" t="s">
        <v>40</v>
      </c>
      <c r="N5" s="2" t="s">
        <v>206</v>
      </c>
      <c r="O5" s="2" t="s">
        <v>40</v>
      </c>
      <c r="P5" s="2" t="s">
        <v>207</v>
      </c>
      <c r="Q5" s="3">
        <v>6</v>
      </c>
      <c r="R5" s="5">
        <f t="shared" si="0"/>
        <v>28000</v>
      </c>
    </row>
    <row r="6" spans="1:18" x14ac:dyDescent="0.35">
      <c r="A6" s="3">
        <v>1005</v>
      </c>
      <c r="B6" s="2" t="s">
        <v>50</v>
      </c>
      <c r="C6" s="2" t="s">
        <v>106</v>
      </c>
      <c r="D6" s="2" t="s">
        <v>52</v>
      </c>
      <c r="E6" s="2" t="s">
        <v>43</v>
      </c>
      <c r="F6" s="4">
        <v>46031</v>
      </c>
      <c r="G6" s="3">
        <v>2</v>
      </c>
      <c r="H6" s="3">
        <v>28000</v>
      </c>
      <c r="I6" s="2" t="s">
        <v>191</v>
      </c>
      <c r="J6" s="2" t="s">
        <v>47</v>
      </c>
      <c r="K6" s="2" t="s">
        <v>48</v>
      </c>
      <c r="L6" s="2" t="s">
        <v>191</v>
      </c>
      <c r="M6" s="2" t="s">
        <v>50</v>
      </c>
      <c r="N6" s="2" t="s">
        <v>208</v>
      </c>
      <c r="O6" s="2" t="s">
        <v>50</v>
      </c>
      <c r="P6" s="2" t="s">
        <v>209</v>
      </c>
      <c r="Q6" s="3">
        <v>-1</v>
      </c>
      <c r="R6" s="5">
        <f t="shared" si="0"/>
        <v>56000</v>
      </c>
    </row>
    <row r="7" spans="1:18" x14ac:dyDescent="0.35">
      <c r="A7" s="3">
        <v>1006</v>
      </c>
      <c r="B7" s="2" t="s">
        <v>188</v>
      </c>
      <c r="C7" s="2" t="s">
        <v>13</v>
      </c>
      <c r="D7" s="2" t="s">
        <v>33</v>
      </c>
      <c r="E7" s="2" t="s">
        <v>56</v>
      </c>
      <c r="F7" s="4">
        <v>46032</v>
      </c>
      <c r="G7" s="3">
        <v>4</v>
      </c>
      <c r="H7" s="3">
        <v>7000</v>
      </c>
      <c r="I7" s="2" t="s">
        <v>59</v>
      </c>
      <c r="J7" s="2" t="s">
        <v>20</v>
      </c>
      <c r="K7" s="2" t="s">
        <v>21</v>
      </c>
      <c r="L7" s="2" t="s">
        <v>210</v>
      </c>
      <c r="M7" s="2" t="s">
        <v>188</v>
      </c>
      <c r="N7" s="2" t="s">
        <v>211</v>
      </c>
      <c r="O7" s="2" t="s">
        <v>188</v>
      </c>
      <c r="P7" s="2" t="s">
        <v>212</v>
      </c>
      <c r="Q7" s="3">
        <v>4</v>
      </c>
      <c r="R7" s="5">
        <f t="shared" si="0"/>
        <v>28000</v>
      </c>
    </row>
    <row r="8" spans="1:18" x14ac:dyDescent="0.35">
      <c r="A8" s="3">
        <v>1007</v>
      </c>
      <c r="B8" s="2" t="s">
        <v>61</v>
      </c>
      <c r="C8" s="2" t="s">
        <v>62</v>
      </c>
      <c r="D8" s="2" t="s">
        <v>73</v>
      </c>
      <c r="E8" s="2" t="s">
        <v>64</v>
      </c>
      <c r="F8" s="4">
        <v>46033</v>
      </c>
      <c r="G8" s="3">
        <v>1</v>
      </c>
      <c r="H8" s="3">
        <v>18000</v>
      </c>
      <c r="I8" s="2" t="s">
        <v>68</v>
      </c>
      <c r="J8" s="2" t="s">
        <v>29</v>
      </c>
      <c r="K8" s="2" t="s">
        <v>69</v>
      </c>
      <c r="L8" s="2" t="s">
        <v>213</v>
      </c>
      <c r="M8" s="2" t="s">
        <v>61</v>
      </c>
      <c r="N8" s="2" t="s">
        <v>214</v>
      </c>
      <c r="O8" s="2" t="s">
        <v>61</v>
      </c>
      <c r="P8" s="2" t="s">
        <v>215</v>
      </c>
      <c r="Q8" s="3">
        <v>5</v>
      </c>
      <c r="R8" s="5">
        <f t="shared" si="0"/>
        <v>18000</v>
      </c>
    </row>
    <row r="9" spans="1:18" x14ac:dyDescent="0.35">
      <c r="A9" s="3">
        <v>1008</v>
      </c>
      <c r="B9" s="2" t="s">
        <v>71</v>
      </c>
      <c r="C9" s="2" t="s">
        <v>62</v>
      </c>
      <c r="D9" s="2" t="s">
        <v>73</v>
      </c>
      <c r="E9" s="2" t="s">
        <v>74</v>
      </c>
      <c r="F9" s="4">
        <v>46034</v>
      </c>
      <c r="G9" s="3">
        <v>2</v>
      </c>
      <c r="H9" s="3">
        <v>22000</v>
      </c>
      <c r="I9" s="2" t="s">
        <v>76</v>
      </c>
      <c r="J9" s="2" t="s">
        <v>29</v>
      </c>
      <c r="K9" s="2" t="s">
        <v>21</v>
      </c>
      <c r="L9" s="2" t="s">
        <v>216</v>
      </c>
      <c r="M9" s="2" t="s">
        <v>71</v>
      </c>
      <c r="N9" s="2" t="s">
        <v>217</v>
      </c>
      <c r="O9" s="2" t="s">
        <v>71</v>
      </c>
      <c r="P9" s="2" t="s">
        <v>218</v>
      </c>
      <c r="Q9" s="3">
        <v>4</v>
      </c>
      <c r="R9" s="5">
        <f t="shared" si="0"/>
        <v>44000</v>
      </c>
    </row>
    <row r="10" spans="1:18" x14ac:dyDescent="0.35">
      <c r="A10" s="3">
        <v>1009</v>
      </c>
      <c r="B10" s="2" t="s">
        <v>78</v>
      </c>
      <c r="C10" s="2" t="s">
        <v>85</v>
      </c>
      <c r="D10" s="2" t="s">
        <v>33</v>
      </c>
      <c r="E10" s="2" t="s">
        <v>80</v>
      </c>
      <c r="F10" s="4">
        <v>46035</v>
      </c>
      <c r="G10" s="3">
        <v>5</v>
      </c>
      <c r="H10" s="3">
        <v>600</v>
      </c>
      <c r="I10" s="2" t="s">
        <v>83</v>
      </c>
      <c r="J10" s="2" t="s">
        <v>20</v>
      </c>
      <c r="K10" s="2" t="s">
        <v>21</v>
      </c>
      <c r="L10" s="2" t="s">
        <v>191</v>
      </c>
      <c r="M10" s="2" t="s">
        <v>78</v>
      </c>
      <c r="N10" s="2" t="s">
        <v>219</v>
      </c>
      <c r="O10" s="2" t="s">
        <v>78</v>
      </c>
      <c r="P10" s="2" t="s">
        <v>220</v>
      </c>
      <c r="Q10" s="3">
        <v>4</v>
      </c>
      <c r="R10" s="5">
        <f t="shared" si="0"/>
        <v>3000</v>
      </c>
    </row>
    <row r="11" spans="1:18" x14ac:dyDescent="0.35">
      <c r="A11" s="3">
        <v>1010</v>
      </c>
      <c r="B11" s="2" t="s">
        <v>84</v>
      </c>
      <c r="C11" s="2" t="s">
        <v>85</v>
      </c>
      <c r="D11" s="2" t="s">
        <v>14</v>
      </c>
      <c r="E11" s="2" t="s">
        <v>86</v>
      </c>
      <c r="F11" s="4">
        <v>46036</v>
      </c>
      <c r="G11" s="3">
        <v>1</v>
      </c>
      <c r="H11" s="3">
        <v>32000</v>
      </c>
      <c r="I11" s="2" t="s">
        <v>89</v>
      </c>
      <c r="J11" s="2" t="s">
        <v>29</v>
      </c>
      <c r="K11" s="2" t="s">
        <v>21</v>
      </c>
      <c r="L11" s="2" t="s">
        <v>221</v>
      </c>
      <c r="M11" s="2" t="s">
        <v>84</v>
      </c>
      <c r="N11" s="2" t="s">
        <v>222</v>
      </c>
      <c r="O11" s="2" t="s">
        <v>84</v>
      </c>
      <c r="P11" s="2" t="s">
        <v>201</v>
      </c>
      <c r="Q11" s="3">
        <v>4</v>
      </c>
      <c r="R11" s="5">
        <f t="shared" si="0"/>
        <v>32000</v>
      </c>
    </row>
    <row r="12" spans="1:18" x14ac:dyDescent="0.35">
      <c r="A12" s="3">
        <v>1012</v>
      </c>
      <c r="B12" s="2" t="s">
        <v>92</v>
      </c>
      <c r="C12" s="2" t="s">
        <v>13</v>
      </c>
      <c r="D12" s="2" t="s">
        <v>33</v>
      </c>
      <c r="E12" s="2" t="s">
        <v>25</v>
      </c>
      <c r="F12" s="4">
        <v>46038</v>
      </c>
      <c r="G12" s="3">
        <v>2</v>
      </c>
      <c r="H12" s="3">
        <v>2500</v>
      </c>
      <c r="I12" s="2" t="s">
        <v>94</v>
      </c>
      <c r="J12" s="2" t="s">
        <v>20</v>
      </c>
      <c r="K12" s="2" t="s">
        <v>21</v>
      </c>
      <c r="L12" s="2" t="s">
        <v>223</v>
      </c>
      <c r="M12" s="2" t="s">
        <v>92</v>
      </c>
      <c r="N12" s="2" t="s">
        <v>224</v>
      </c>
      <c r="O12" s="2" t="s">
        <v>92</v>
      </c>
      <c r="P12" s="2" t="s">
        <v>225</v>
      </c>
      <c r="Q12" s="3">
        <v>6</v>
      </c>
      <c r="R12" s="5">
        <f t="shared" si="0"/>
        <v>5000</v>
      </c>
    </row>
    <row r="13" spans="1:18" x14ac:dyDescent="0.35">
      <c r="A13" s="3">
        <v>1013</v>
      </c>
      <c r="B13" s="2" t="s">
        <v>96</v>
      </c>
      <c r="C13" s="2" t="s">
        <v>97</v>
      </c>
      <c r="D13" s="2" t="s">
        <v>73</v>
      </c>
      <c r="E13" s="2" t="s">
        <v>64</v>
      </c>
      <c r="F13" s="4" t="s">
        <v>185</v>
      </c>
      <c r="G13" s="3">
        <v>3</v>
      </c>
      <c r="H13" s="3">
        <v>18000</v>
      </c>
      <c r="I13" s="2" t="s">
        <v>99</v>
      </c>
      <c r="J13" s="2" t="s">
        <v>29</v>
      </c>
      <c r="K13" s="2" t="s">
        <v>21</v>
      </c>
      <c r="L13" s="2" t="s">
        <v>226</v>
      </c>
      <c r="M13" s="2" t="s">
        <v>96</v>
      </c>
      <c r="N13" s="2" t="s">
        <v>227</v>
      </c>
      <c r="O13" s="2" t="s">
        <v>96</v>
      </c>
      <c r="P13" s="2" t="s">
        <v>228</v>
      </c>
      <c r="Q13" s="3">
        <v>4</v>
      </c>
      <c r="R13" s="5">
        <f t="shared" si="0"/>
        <v>54000</v>
      </c>
    </row>
    <row r="14" spans="1:18" x14ac:dyDescent="0.35">
      <c r="A14" s="3">
        <v>1014</v>
      </c>
      <c r="B14" s="2" t="s">
        <v>189</v>
      </c>
      <c r="C14" s="2" t="s">
        <v>97</v>
      </c>
      <c r="D14" s="2" t="s">
        <v>73</v>
      </c>
      <c r="E14" s="2" t="s">
        <v>74</v>
      </c>
      <c r="F14" s="4">
        <v>46041</v>
      </c>
      <c r="G14" s="3"/>
      <c r="H14" s="3">
        <v>22000</v>
      </c>
      <c r="I14" s="2" t="s">
        <v>104</v>
      </c>
      <c r="J14" s="2" t="s">
        <v>29</v>
      </c>
      <c r="K14" s="2" t="s">
        <v>21</v>
      </c>
      <c r="L14" s="2" t="s">
        <v>191</v>
      </c>
      <c r="M14" s="2" t="s">
        <v>189</v>
      </c>
      <c r="N14" s="2" t="s">
        <v>229</v>
      </c>
      <c r="O14" s="2" t="s">
        <v>189</v>
      </c>
      <c r="P14" s="2" t="s">
        <v>230</v>
      </c>
      <c r="Q14" s="3">
        <v>4</v>
      </c>
      <c r="R14" s="5">
        <f t="shared" si="0"/>
        <v>0</v>
      </c>
    </row>
    <row r="15" spans="1:18" x14ac:dyDescent="0.35">
      <c r="A15" s="3">
        <v>1015</v>
      </c>
      <c r="B15" s="2" t="s">
        <v>105</v>
      </c>
      <c r="C15" s="2" t="s">
        <v>106</v>
      </c>
      <c r="D15" s="2" t="s">
        <v>14</v>
      </c>
      <c r="E15" s="2" t="s">
        <v>86</v>
      </c>
      <c r="F15" s="4">
        <v>46042</v>
      </c>
      <c r="G15" s="3">
        <v>2</v>
      </c>
      <c r="H15" s="3">
        <v>32000</v>
      </c>
      <c r="I15" s="2" t="s">
        <v>108</v>
      </c>
      <c r="J15" s="2" t="s">
        <v>191</v>
      </c>
      <c r="K15" s="2" t="s">
        <v>21</v>
      </c>
      <c r="L15" s="2" t="s">
        <v>231</v>
      </c>
      <c r="M15" s="2" t="s">
        <v>105</v>
      </c>
      <c r="N15" s="2" t="s">
        <v>232</v>
      </c>
      <c r="O15" s="2" t="s">
        <v>105</v>
      </c>
      <c r="P15" s="2" t="s">
        <v>233</v>
      </c>
      <c r="Q15" s="3">
        <v>6</v>
      </c>
      <c r="R15" s="5">
        <f t="shared" si="0"/>
        <v>64000</v>
      </c>
    </row>
    <row r="16" spans="1:18" x14ac:dyDescent="0.35">
      <c r="A16" s="3">
        <v>1016</v>
      </c>
      <c r="B16" s="2" t="s">
        <v>110</v>
      </c>
      <c r="C16" s="2" t="s">
        <v>106</v>
      </c>
      <c r="D16" s="2" t="s">
        <v>33</v>
      </c>
      <c r="E16" s="2" t="s">
        <v>56</v>
      </c>
      <c r="F16" s="4">
        <v>46043</v>
      </c>
      <c r="G16" s="3">
        <v>3</v>
      </c>
      <c r="H16" s="3">
        <v>7000</v>
      </c>
      <c r="I16" s="2" t="s">
        <v>114</v>
      </c>
      <c r="J16" s="2" t="s">
        <v>20</v>
      </c>
      <c r="K16" s="2" t="s">
        <v>21</v>
      </c>
      <c r="L16" s="2" t="s">
        <v>234</v>
      </c>
      <c r="M16" s="2" t="s">
        <v>110</v>
      </c>
      <c r="N16" s="2" t="s">
        <v>235</v>
      </c>
      <c r="O16" s="2" t="s">
        <v>110</v>
      </c>
      <c r="P16" s="2" t="s">
        <v>236</v>
      </c>
      <c r="Q16" s="3">
        <v>4</v>
      </c>
      <c r="R16" s="5">
        <f t="shared" si="0"/>
        <v>21000</v>
      </c>
    </row>
    <row r="17" spans="1:18" x14ac:dyDescent="0.35">
      <c r="A17" s="3">
        <v>1017</v>
      </c>
      <c r="B17" s="2" t="s">
        <v>116</v>
      </c>
      <c r="C17" s="2" t="s">
        <v>13</v>
      </c>
      <c r="D17" s="2" t="s">
        <v>14</v>
      </c>
      <c r="E17" s="2" t="s">
        <v>80</v>
      </c>
      <c r="F17" s="4">
        <v>46044</v>
      </c>
      <c r="G17" s="3">
        <v>8</v>
      </c>
      <c r="H17" s="3">
        <v>600</v>
      </c>
      <c r="I17" s="2" t="s">
        <v>118</v>
      </c>
      <c r="J17" s="2" t="s">
        <v>20</v>
      </c>
      <c r="K17" s="2" t="s">
        <v>21</v>
      </c>
      <c r="L17" s="2" t="s">
        <v>237</v>
      </c>
      <c r="M17" s="2" t="s">
        <v>116</v>
      </c>
      <c r="N17" s="2" t="s">
        <v>238</v>
      </c>
      <c r="O17" s="2" t="s">
        <v>116</v>
      </c>
      <c r="P17" s="2" t="s">
        <v>199</v>
      </c>
      <c r="Q17" s="3">
        <v>5</v>
      </c>
      <c r="R17" s="5">
        <f t="shared" si="0"/>
        <v>4800</v>
      </c>
    </row>
    <row r="18" spans="1:18" x14ac:dyDescent="0.35">
      <c r="A18" s="3">
        <v>1018</v>
      </c>
      <c r="B18" s="2" t="s">
        <v>120</v>
      </c>
      <c r="C18" s="2" t="s">
        <v>13</v>
      </c>
      <c r="D18" s="2" t="s">
        <v>33</v>
      </c>
      <c r="E18" s="2" t="s">
        <v>121</v>
      </c>
      <c r="F18" s="4">
        <v>46045</v>
      </c>
      <c r="G18" s="3">
        <v>2</v>
      </c>
      <c r="H18" s="3">
        <v>4500</v>
      </c>
      <c r="I18" s="2" t="s">
        <v>124</v>
      </c>
      <c r="J18" s="2" t="s">
        <v>29</v>
      </c>
      <c r="K18" s="2" t="s">
        <v>48</v>
      </c>
      <c r="L18" s="2" t="s">
        <v>239</v>
      </c>
      <c r="M18" s="2" t="s">
        <v>120</v>
      </c>
      <c r="N18" s="2" t="s">
        <v>240</v>
      </c>
      <c r="O18" s="2" t="s">
        <v>120</v>
      </c>
      <c r="P18" s="2" t="s">
        <v>220</v>
      </c>
      <c r="Q18" s="3">
        <v>6</v>
      </c>
      <c r="R18" s="5">
        <f t="shared" si="0"/>
        <v>9000</v>
      </c>
    </row>
    <row r="19" spans="1:18" x14ac:dyDescent="0.35">
      <c r="A19" s="3">
        <v>1019</v>
      </c>
      <c r="B19" s="2" t="s">
        <v>126</v>
      </c>
      <c r="C19" s="2" t="s">
        <v>97</v>
      </c>
      <c r="D19" s="2" t="s">
        <v>42</v>
      </c>
      <c r="E19" s="2" t="s">
        <v>43</v>
      </c>
      <c r="F19" s="4">
        <v>46046</v>
      </c>
      <c r="G19" s="3">
        <v>1</v>
      </c>
      <c r="H19" s="3">
        <v>28000</v>
      </c>
      <c r="I19" s="2" t="s">
        <v>129</v>
      </c>
      <c r="J19" s="2" t="s">
        <v>47</v>
      </c>
      <c r="K19" s="2" t="s">
        <v>48</v>
      </c>
      <c r="L19" s="2" t="s">
        <v>241</v>
      </c>
      <c r="M19" s="2" t="s">
        <v>126</v>
      </c>
      <c r="N19" s="2" t="s">
        <v>242</v>
      </c>
      <c r="O19" s="2" t="s">
        <v>126</v>
      </c>
      <c r="P19" s="2" t="s">
        <v>201</v>
      </c>
      <c r="Q19" s="3">
        <v>4</v>
      </c>
      <c r="R19" s="5">
        <f t="shared" si="0"/>
        <v>28000</v>
      </c>
    </row>
    <row r="20" spans="1:18" x14ac:dyDescent="0.35">
      <c r="A20" s="3">
        <v>1020</v>
      </c>
      <c r="B20" s="2" t="s">
        <v>190</v>
      </c>
      <c r="C20" s="2" t="s">
        <v>62</v>
      </c>
      <c r="D20" s="2" t="s">
        <v>73</v>
      </c>
      <c r="E20" s="2" t="s">
        <v>64</v>
      </c>
      <c r="F20" s="4">
        <v>46047</v>
      </c>
      <c r="G20" s="3">
        <v>2</v>
      </c>
      <c r="H20" s="3">
        <v>18000</v>
      </c>
      <c r="I20" s="2" t="s">
        <v>133</v>
      </c>
      <c r="J20" s="2" t="s">
        <v>29</v>
      </c>
      <c r="K20" s="2" t="s">
        <v>21</v>
      </c>
      <c r="L20" s="2" t="s">
        <v>243</v>
      </c>
      <c r="M20" s="2" t="s">
        <v>190</v>
      </c>
      <c r="N20" s="2" t="s">
        <v>244</v>
      </c>
      <c r="O20" s="2" t="s">
        <v>190</v>
      </c>
      <c r="P20" s="2" t="s">
        <v>245</v>
      </c>
      <c r="Q20" s="3">
        <v>5</v>
      </c>
      <c r="R20" s="5">
        <f t="shared" si="0"/>
        <v>36000</v>
      </c>
    </row>
    <row r="21" spans="1:18" x14ac:dyDescent="0.35">
      <c r="A21" s="3">
        <v>1021</v>
      </c>
      <c r="B21" s="2" t="s">
        <v>135</v>
      </c>
      <c r="C21" s="2" t="s">
        <v>106</v>
      </c>
      <c r="D21" s="2" t="s">
        <v>14</v>
      </c>
      <c r="E21" s="2" t="s">
        <v>15</v>
      </c>
      <c r="F21" s="4">
        <v>46048</v>
      </c>
      <c r="G21" s="3">
        <v>1</v>
      </c>
      <c r="H21" s="3">
        <v>85000</v>
      </c>
      <c r="I21" s="2" t="s">
        <v>137</v>
      </c>
      <c r="J21" s="2" t="s">
        <v>20</v>
      </c>
      <c r="K21" s="2" t="s">
        <v>21</v>
      </c>
      <c r="L21" s="2" t="s">
        <v>246</v>
      </c>
      <c r="M21" s="2" t="s">
        <v>135</v>
      </c>
      <c r="N21" s="2" t="s">
        <v>247</v>
      </c>
      <c r="O21" s="2" t="s">
        <v>135</v>
      </c>
      <c r="P21" s="2" t="s">
        <v>248</v>
      </c>
      <c r="Q21" s="3">
        <v>6</v>
      </c>
      <c r="R21" s="5">
        <f t="shared" si="0"/>
        <v>85000</v>
      </c>
    </row>
    <row r="22" spans="1:18" x14ac:dyDescent="0.35">
      <c r="A22" s="3">
        <v>1022</v>
      </c>
      <c r="B22" s="2" t="s">
        <v>139</v>
      </c>
      <c r="C22" s="2" t="s">
        <v>106</v>
      </c>
      <c r="D22" s="2" t="s">
        <v>33</v>
      </c>
      <c r="E22" s="2" t="s">
        <v>25</v>
      </c>
      <c r="F22" s="4">
        <v>46049</v>
      </c>
      <c r="G22" s="3">
        <v>6</v>
      </c>
      <c r="H22" s="3">
        <v>2500</v>
      </c>
      <c r="I22" s="2" t="s">
        <v>141</v>
      </c>
      <c r="J22" s="2" t="s">
        <v>29</v>
      </c>
      <c r="K22" s="2" t="s">
        <v>21</v>
      </c>
      <c r="L22" s="2" t="s">
        <v>249</v>
      </c>
      <c r="M22" s="2" t="s">
        <v>139</v>
      </c>
      <c r="N22" s="2" t="s">
        <v>201</v>
      </c>
      <c r="O22" s="2" t="s">
        <v>139</v>
      </c>
      <c r="P22" s="2" t="s">
        <v>204</v>
      </c>
      <c r="Q22" s="3">
        <v>5</v>
      </c>
      <c r="R22" s="5">
        <f t="shared" si="0"/>
        <v>15000</v>
      </c>
    </row>
    <row r="23" spans="1:18" x14ac:dyDescent="0.35">
      <c r="A23" s="3">
        <v>1023</v>
      </c>
      <c r="B23" s="2" t="s">
        <v>143</v>
      </c>
      <c r="C23" s="2" t="s">
        <v>85</v>
      </c>
      <c r="D23" s="2" t="s">
        <v>73</v>
      </c>
      <c r="E23" s="2" t="s">
        <v>74</v>
      </c>
      <c r="F23" s="4">
        <v>46050</v>
      </c>
      <c r="G23" s="3">
        <v>1</v>
      </c>
      <c r="H23" s="3">
        <v>22000</v>
      </c>
      <c r="I23" s="2" t="s">
        <v>146</v>
      </c>
      <c r="J23" s="2" t="s">
        <v>20</v>
      </c>
      <c r="K23" s="2" t="s">
        <v>21</v>
      </c>
      <c r="L23" s="2" t="s">
        <v>250</v>
      </c>
      <c r="M23" s="2" t="s">
        <v>143</v>
      </c>
      <c r="N23" s="2" t="s">
        <v>251</v>
      </c>
      <c r="O23" s="2" t="s">
        <v>143</v>
      </c>
      <c r="P23" s="2" t="s">
        <v>252</v>
      </c>
      <c r="Q23" s="3">
        <v>5</v>
      </c>
      <c r="R23" s="5">
        <f t="shared" si="0"/>
        <v>22000</v>
      </c>
    </row>
    <row r="24" spans="1:18" x14ac:dyDescent="0.35">
      <c r="A24" s="3">
        <v>1024</v>
      </c>
      <c r="B24" s="2" t="s">
        <v>148</v>
      </c>
      <c r="C24" s="2" t="s">
        <v>85</v>
      </c>
      <c r="D24" s="2" t="s">
        <v>14</v>
      </c>
      <c r="E24" s="2" t="s">
        <v>86</v>
      </c>
      <c r="F24" s="4">
        <v>46051</v>
      </c>
      <c r="G24" s="3">
        <v>2</v>
      </c>
      <c r="H24" s="3">
        <v>32000</v>
      </c>
      <c r="I24" s="2" t="s">
        <v>150</v>
      </c>
      <c r="J24" s="2" t="s">
        <v>29</v>
      </c>
      <c r="K24" s="2" t="s">
        <v>21</v>
      </c>
      <c r="L24" s="2" t="s">
        <v>253</v>
      </c>
      <c r="M24" s="2" t="s">
        <v>148</v>
      </c>
      <c r="N24" s="2" t="s">
        <v>254</v>
      </c>
      <c r="O24" s="2" t="s">
        <v>148</v>
      </c>
      <c r="P24" s="2" t="s">
        <v>199</v>
      </c>
      <c r="Q24" s="3">
        <v>4</v>
      </c>
      <c r="R24" s="5">
        <f t="shared" si="0"/>
        <v>64000</v>
      </c>
    </row>
    <row r="25" spans="1:18" x14ac:dyDescent="0.35">
      <c r="A25" s="3">
        <v>1025</v>
      </c>
      <c r="B25" s="2" t="s">
        <v>152</v>
      </c>
      <c r="C25" s="2" t="s">
        <v>13</v>
      </c>
      <c r="D25" s="2" t="s">
        <v>33</v>
      </c>
      <c r="E25" s="2" t="s">
        <v>80</v>
      </c>
      <c r="F25" s="4">
        <v>46052</v>
      </c>
      <c r="G25" s="3">
        <v>10</v>
      </c>
      <c r="H25" s="3">
        <v>600</v>
      </c>
      <c r="I25" s="2" t="s">
        <v>154</v>
      </c>
      <c r="J25" s="2" t="s">
        <v>20</v>
      </c>
      <c r="K25" s="2" t="s">
        <v>21</v>
      </c>
      <c r="L25" s="2" t="s">
        <v>191</v>
      </c>
      <c r="M25" s="2" t="s">
        <v>152</v>
      </c>
      <c r="N25" s="2" t="s">
        <v>255</v>
      </c>
      <c r="O25" s="2" t="s">
        <v>152</v>
      </c>
      <c r="P25" s="2" t="s">
        <v>209</v>
      </c>
      <c r="Q25" s="3">
        <v>7</v>
      </c>
      <c r="R25" s="5">
        <f t="shared" si="0"/>
        <v>6000</v>
      </c>
    </row>
    <row r="26" spans="1:18" x14ac:dyDescent="0.35">
      <c r="A26" s="3">
        <v>1026</v>
      </c>
      <c r="B26" s="2" t="s">
        <v>155</v>
      </c>
      <c r="C26" s="2" t="s">
        <v>13</v>
      </c>
      <c r="D26" s="2" t="s">
        <v>33</v>
      </c>
      <c r="E26" s="2" t="s">
        <v>56</v>
      </c>
      <c r="F26" s="4">
        <v>46053</v>
      </c>
      <c r="G26" s="3">
        <v>2</v>
      </c>
      <c r="H26" s="3">
        <v>7000</v>
      </c>
      <c r="I26" s="2" t="s">
        <v>157</v>
      </c>
      <c r="J26" s="2" t="s">
        <v>29</v>
      </c>
      <c r="K26" s="2" t="s">
        <v>21</v>
      </c>
      <c r="L26" s="2" t="s">
        <v>256</v>
      </c>
      <c r="M26" s="2" t="s">
        <v>155</v>
      </c>
      <c r="N26" s="2" t="s">
        <v>257</v>
      </c>
      <c r="O26" s="2" t="s">
        <v>155</v>
      </c>
      <c r="P26" s="2" t="s">
        <v>220</v>
      </c>
      <c r="Q26" s="3">
        <v>6</v>
      </c>
      <c r="R26" s="5">
        <f t="shared" si="0"/>
        <v>14000</v>
      </c>
    </row>
    <row r="27" spans="1:18" x14ac:dyDescent="0.35">
      <c r="A27" s="3">
        <v>1027</v>
      </c>
      <c r="B27" s="2" t="s">
        <v>50</v>
      </c>
      <c r="C27" s="2" t="s">
        <v>106</v>
      </c>
      <c r="D27" s="2" t="s">
        <v>42</v>
      </c>
      <c r="E27" s="2" t="s">
        <v>43</v>
      </c>
      <c r="F27" s="4">
        <v>46054</v>
      </c>
      <c r="G27" s="3">
        <v>1</v>
      </c>
      <c r="H27" s="3">
        <v>28000</v>
      </c>
      <c r="I27" s="2" t="s">
        <v>160</v>
      </c>
      <c r="J27" s="2" t="s">
        <v>47</v>
      </c>
      <c r="K27" s="2" t="s">
        <v>48</v>
      </c>
      <c r="L27" s="2" t="s">
        <v>258</v>
      </c>
      <c r="M27" s="2" t="s">
        <v>50</v>
      </c>
      <c r="N27" s="2" t="s">
        <v>208</v>
      </c>
      <c r="O27" s="2" t="s">
        <v>50</v>
      </c>
      <c r="P27" s="2" t="s">
        <v>209</v>
      </c>
      <c r="Q27" s="3">
        <v>5</v>
      </c>
      <c r="R27" s="5">
        <f t="shared" si="0"/>
        <v>28000</v>
      </c>
    </row>
    <row r="28" spans="1:18" x14ac:dyDescent="0.35">
      <c r="A28" s="3">
        <v>1028</v>
      </c>
      <c r="B28" s="2" t="s">
        <v>162</v>
      </c>
      <c r="C28" s="2" t="s">
        <v>97</v>
      </c>
      <c r="D28" s="2" t="s">
        <v>73</v>
      </c>
      <c r="E28" s="2" t="s">
        <v>74</v>
      </c>
      <c r="F28" s="4">
        <v>46055</v>
      </c>
      <c r="G28" s="3">
        <v>2</v>
      </c>
      <c r="H28" s="3">
        <v>22000</v>
      </c>
      <c r="I28" s="2" t="s">
        <v>165</v>
      </c>
      <c r="J28" s="2" t="s">
        <v>29</v>
      </c>
      <c r="K28" s="2" t="s">
        <v>21</v>
      </c>
      <c r="L28" s="2" t="s">
        <v>259</v>
      </c>
      <c r="M28" s="2" t="s">
        <v>162</v>
      </c>
      <c r="N28" s="2" t="s">
        <v>260</v>
      </c>
      <c r="O28" s="2" t="s">
        <v>162</v>
      </c>
      <c r="P28" s="2" t="s">
        <v>207</v>
      </c>
      <c r="Q28" s="3">
        <v>4</v>
      </c>
      <c r="R28" s="5">
        <f t="shared" si="0"/>
        <v>44000</v>
      </c>
    </row>
    <row r="29" spans="1:18" x14ac:dyDescent="0.35">
      <c r="A29" s="3">
        <v>1029</v>
      </c>
      <c r="B29" s="2" t="s">
        <v>167</v>
      </c>
      <c r="C29" s="2" t="s">
        <v>62</v>
      </c>
      <c r="D29" s="2" t="s">
        <v>14</v>
      </c>
      <c r="E29" s="2" t="s">
        <v>15</v>
      </c>
      <c r="F29" s="4">
        <v>46056</v>
      </c>
      <c r="G29" s="3">
        <v>1</v>
      </c>
      <c r="H29" s="3">
        <v>85000</v>
      </c>
      <c r="I29" s="2" t="s">
        <v>169</v>
      </c>
      <c r="J29" s="2" t="s">
        <v>20</v>
      </c>
      <c r="K29" s="2" t="s">
        <v>21</v>
      </c>
      <c r="L29" s="2" t="s">
        <v>261</v>
      </c>
      <c r="M29" s="2" t="s">
        <v>167</v>
      </c>
      <c r="N29" s="2" t="s">
        <v>262</v>
      </c>
      <c r="O29" s="2" t="s">
        <v>167</v>
      </c>
      <c r="P29" s="2" t="s">
        <v>263</v>
      </c>
      <c r="Q29" s="3">
        <v>6</v>
      </c>
      <c r="R29" s="5">
        <f t="shared" si="0"/>
        <v>85000</v>
      </c>
    </row>
    <row r="30" spans="1:18" x14ac:dyDescent="0.35">
      <c r="A30" s="3">
        <v>1030</v>
      </c>
      <c r="B30" s="2" t="s">
        <v>171</v>
      </c>
      <c r="C30" s="2" t="s">
        <v>62</v>
      </c>
      <c r="D30" s="2" t="s">
        <v>33</v>
      </c>
      <c r="E30" s="2" t="s">
        <v>121</v>
      </c>
      <c r="F30" s="4">
        <v>46057</v>
      </c>
      <c r="G30" s="3">
        <v>4</v>
      </c>
      <c r="H30" s="3">
        <v>4500</v>
      </c>
      <c r="I30" s="2" t="s">
        <v>174</v>
      </c>
      <c r="J30" s="2" t="s">
        <v>29</v>
      </c>
      <c r="K30" s="2" t="s">
        <v>21</v>
      </c>
      <c r="L30" s="2" t="s">
        <v>264</v>
      </c>
      <c r="M30" s="2" t="s">
        <v>171</v>
      </c>
      <c r="N30" s="2" t="s">
        <v>265</v>
      </c>
      <c r="O30" s="2" t="s">
        <v>171</v>
      </c>
      <c r="P30" s="2" t="s">
        <v>199</v>
      </c>
      <c r="Q30" s="3">
        <v>5</v>
      </c>
      <c r="R30" s="5">
        <f t="shared" si="0"/>
        <v>18000</v>
      </c>
    </row>
    <row r="31" spans="1:18" x14ac:dyDescent="0.35">
      <c r="A31" s="3">
        <v>1032</v>
      </c>
      <c r="B31" s="2" t="s">
        <v>176</v>
      </c>
      <c r="C31" s="2" t="s">
        <v>13</v>
      </c>
      <c r="D31" s="2" t="s">
        <v>33</v>
      </c>
      <c r="E31" s="2" t="s">
        <v>25</v>
      </c>
      <c r="F31" s="4">
        <v>46058</v>
      </c>
      <c r="G31" s="3">
        <v>3</v>
      </c>
      <c r="H31" s="3">
        <v>2500</v>
      </c>
      <c r="I31" s="2" t="s">
        <v>181</v>
      </c>
      <c r="J31" s="2" t="s">
        <v>20</v>
      </c>
      <c r="K31" s="2" t="s">
        <v>21</v>
      </c>
      <c r="L31" s="2" t="s">
        <v>266</v>
      </c>
      <c r="M31" s="2" t="s">
        <v>176</v>
      </c>
      <c r="N31" s="2" t="s">
        <v>267</v>
      </c>
      <c r="O31" s="2" t="s">
        <v>176</v>
      </c>
      <c r="P31" s="2" t="s">
        <v>225</v>
      </c>
      <c r="Q31" s="3">
        <v>5</v>
      </c>
      <c r="R31" s="5">
        <f t="shared" si="0"/>
        <v>7500</v>
      </c>
    </row>
  </sheetData>
  <conditionalFormatting sqref="K1:K1048576">
    <cfRule type="containsText" dxfId="4" priority="1" operator="containsText" text="Cancelled">
      <formula>NOT(ISERROR(SEARCH("Cancelled",K1)))</formula>
    </cfRule>
    <cfRule type="containsText" dxfId="3" priority="2" operator="containsText" text="Pending">
      <formula>NOT(ISERROR(SEARCH("Pending",K1)))</formula>
    </cfRule>
    <cfRule type="containsText" dxfId="2" priority="3" operator="containsText" text="Pending">
      <formula>NOT(ISERROR(SEARCH("Pending",K1)))</formula>
    </cfRule>
    <cfRule type="containsText" dxfId="1" priority="4" operator="containsText" text="Completed">
      <formula>NOT(ISERROR(SEARCH("Completed",K1)))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A40C-6362-4847-BC42-73DDC6E963B4}">
  <dimension ref="A1:W33"/>
  <sheetViews>
    <sheetView zoomScale="84" workbookViewId="0">
      <selection activeCell="P24" sqref="P24"/>
    </sheetView>
  </sheetViews>
  <sheetFormatPr defaultRowHeight="14.5" x14ac:dyDescent="0.35"/>
  <sheetData>
    <row r="1" spans="1:23" x14ac:dyDescent="0.3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x14ac:dyDescent="0.35"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23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23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23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23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1C16D7-C199-4F23-85ED-337E3DE2D9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Messy_Data</vt:lpstr>
      <vt:lpstr>Sales by category</vt:lpstr>
      <vt:lpstr>Payment_method</vt:lpstr>
      <vt:lpstr>sales_by_product</vt:lpstr>
      <vt:lpstr>sales_by_city</vt:lpstr>
      <vt:lpstr>sales_by_month</vt:lpstr>
      <vt:lpstr>Total Sales</vt:lpstr>
      <vt:lpstr>Total Orders</vt:lpstr>
      <vt:lpstr>Total Quantity</vt:lpstr>
      <vt:lpstr>Cleaned_Data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WICK</cp:lastModifiedBy>
  <dcterms:created xsi:type="dcterms:W3CDTF">2026-08-20T12:25:14Z</dcterms:created>
  <dcterms:modified xsi:type="dcterms:W3CDTF">2026-08-21T16:52:46Z</dcterms:modified>
</cp:coreProperties>
</file>